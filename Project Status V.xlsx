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asket" sheetId="1" r:id="rId4"/>
    <sheet state="visible" name="Geftar" sheetId="2" r:id="rId5"/>
    <sheet state="visible" name="Sheet2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">
      <text>
        <t xml:space="preserve">Lorem pasman Lorem oasanamn
</t>
      </text>
    </comment>
  </commentList>
</comments>
</file>

<file path=xl/sharedStrings.xml><?xml version="1.0" encoding="utf-8"?>
<sst xmlns="http://schemas.openxmlformats.org/spreadsheetml/2006/main" count="468" uniqueCount="168">
  <si>
    <t>Project Report</t>
  </si>
  <si>
    <t>STATUS KEY</t>
  </si>
  <si>
    <t>PRIORITY KEY</t>
  </si>
  <si>
    <t>On Hold</t>
  </si>
  <si>
    <t>Low</t>
  </si>
  <si>
    <t>PROJECT TITLE</t>
  </si>
  <si>
    <t>BasketPort</t>
  </si>
  <si>
    <t>Start Date</t>
  </si>
  <si>
    <t xml:space="preserve">Project Health </t>
  </si>
  <si>
    <t>At Risk</t>
  </si>
  <si>
    <t>Good</t>
  </si>
  <si>
    <t>Great</t>
  </si>
  <si>
    <t>Medium</t>
  </si>
  <si>
    <t>PROJECT MANAGER</t>
  </si>
  <si>
    <t>Hesham Raafat</t>
  </si>
  <si>
    <t>Deadline</t>
  </si>
  <si>
    <t>Stage 1</t>
  </si>
  <si>
    <t xml:space="preserve">Month </t>
  </si>
  <si>
    <t>Augest</t>
  </si>
  <si>
    <t>Sprint No.</t>
  </si>
  <si>
    <t>7 out of 12</t>
  </si>
  <si>
    <t>In Progress</t>
  </si>
  <si>
    <t>High</t>
  </si>
  <si>
    <t>Allocation</t>
  </si>
  <si>
    <t>Week</t>
  </si>
  <si>
    <t xml:space="preserve">Schduling </t>
  </si>
  <si>
    <t>Under Review</t>
  </si>
  <si>
    <t>Senoirity</t>
  </si>
  <si>
    <t>Name</t>
  </si>
  <si>
    <t>Position</t>
  </si>
  <si>
    <r>
      <rPr>
        <rFont val="Arial"/>
        <b/>
        <sz val="11.0"/>
      </rPr>
      <t xml:space="preserve">Peformance 
</t>
    </r>
    <r>
      <rPr>
        <rFont val="Arial"/>
        <b/>
        <color rgb="FFFF0000"/>
        <sz val="11.0"/>
      </rPr>
      <t>Rating</t>
    </r>
  </si>
  <si>
    <r>
      <rPr>
        <rFont val="Roboto"/>
        <b/>
        <color rgb="FF000000"/>
        <sz val="11.0"/>
      </rPr>
      <t xml:space="preserve">Quality
</t>
    </r>
    <r>
      <rPr>
        <rFont val="Roboto"/>
        <b/>
        <color rgb="FFFF0000"/>
        <sz val="11.0"/>
      </rPr>
      <t>Rating</t>
    </r>
  </si>
  <si>
    <r>
      <rPr>
        <rFont val="Roboto"/>
        <b/>
        <color rgb="FF000000"/>
        <sz val="11.0"/>
      </rPr>
      <t xml:space="preserve">Workload
</t>
    </r>
    <r>
      <rPr>
        <rFont val="Roboto"/>
        <b/>
        <color rgb="FF1155CC"/>
        <sz val="11.0"/>
      </rPr>
      <t>Low</t>
    </r>
    <r>
      <rPr>
        <rFont val="Roboto"/>
        <b/>
        <color rgb="FF000000"/>
        <sz val="11.0"/>
      </rPr>
      <t>/</t>
    </r>
    <r>
      <rPr>
        <rFont val="Roboto"/>
        <b/>
        <color rgb="FF38761D"/>
        <sz val="11.0"/>
      </rPr>
      <t>Normal</t>
    </r>
    <r>
      <rPr>
        <rFont val="Roboto"/>
        <b/>
        <color rgb="FF000000"/>
        <sz val="11.0"/>
      </rPr>
      <t>/</t>
    </r>
    <r>
      <rPr>
        <rFont val="Roboto"/>
        <b/>
        <color rgb="FFFF0000"/>
        <sz val="11.0"/>
      </rPr>
      <t>High</t>
    </r>
  </si>
  <si>
    <t>Note</t>
  </si>
  <si>
    <t>Complete</t>
  </si>
  <si>
    <t>Hany Mohamed</t>
  </si>
  <si>
    <t>Ui/Ux</t>
  </si>
  <si>
    <t>No task</t>
  </si>
  <si>
    <t>Yes</t>
  </si>
  <si>
    <t>Ahmed Abdel Fattah</t>
  </si>
  <si>
    <t>Tech-Lead</t>
  </si>
  <si>
    <t>Normal</t>
  </si>
  <si>
    <t>Ahmed Adel</t>
  </si>
  <si>
    <t>Tester</t>
  </si>
  <si>
    <t>Mohamed Salah</t>
  </si>
  <si>
    <t>Backend developer</t>
  </si>
  <si>
    <t xml:space="preserve">
Moataz Gamal</t>
  </si>
  <si>
    <t>Omar Adly</t>
  </si>
  <si>
    <t>Frontend developer</t>
  </si>
  <si>
    <t>Anwar Abdelmaksoud</t>
  </si>
  <si>
    <t>Ahmed Hesham</t>
  </si>
  <si>
    <t>Mustafa Ibrahim</t>
  </si>
  <si>
    <t>Mobile Developer</t>
  </si>
  <si>
    <t>PROJECT DETAILS</t>
  </si>
  <si>
    <t>DELIVERABLES</t>
  </si>
  <si>
    <t>HOURS</t>
  </si>
  <si>
    <t>STATUS</t>
  </si>
  <si>
    <t>PRIORITY</t>
  </si>
  <si>
    <t>START DATE</t>
  </si>
  <si>
    <t>END DATE</t>
  </si>
  <si>
    <t>DURATION</t>
  </si>
  <si>
    <t>TASK NAME</t>
  </si>
  <si>
    <t>ASSIGNEE</t>
  </si>
  <si>
    <t>DESCRIPTION</t>
  </si>
  <si>
    <t>Tags</t>
  </si>
  <si>
    <t>% DONE</t>
  </si>
  <si>
    <t>Story Point</t>
  </si>
  <si>
    <t>ESTIMATED HOURS</t>
  </si>
  <si>
    <t>ACTUAL HOURS</t>
  </si>
  <si>
    <t>Product Module</t>
  </si>
  <si>
    <t xml:space="preserve">Fork Attarah Project </t>
  </si>
  <si>
    <t>Copy data base and backend from Attarah to Kassarh</t>
  </si>
  <si>
    <t>Backend</t>
  </si>
  <si>
    <t>Dashboard Adjustments</t>
  </si>
  <si>
    <t xml:space="preserve">Adjust the dashboards to fit with kassarh </t>
  </si>
  <si>
    <t>UI design adjustments</t>
  </si>
  <si>
    <t xml:space="preserve">Adjust logo and colors </t>
  </si>
  <si>
    <t>frontend</t>
  </si>
  <si>
    <t>Copy UI from Attarah to Kassarh</t>
  </si>
  <si>
    <t>Pricing Structure</t>
  </si>
  <si>
    <t>apply the vriation to change the price</t>
  </si>
  <si>
    <t>On Boarding Proccess</t>
  </si>
  <si>
    <t>Filling the User profile is mandatory</t>
  </si>
  <si>
    <t>Adjust the mobile app UI from Attarah to Kassarh</t>
  </si>
  <si>
    <t>Change the UI design to match Web design</t>
  </si>
  <si>
    <t>Mobile</t>
  </si>
  <si>
    <t xml:space="preserve">Actions and Recommendations </t>
  </si>
  <si>
    <t>Inquiries</t>
  </si>
  <si>
    <t>Issues</t>
  </si>
  <si>
    <t>Actions</t>
  </si>
  <si>
    <t>#1</t>
  </si>
  <si>
    <t>Action torem</t>
  </si>
  <si>
    <t>#2</t>
  </si>
  <si>
    <t>ACtion torem</t>
  </si>
  <si>
    <t>#3</t>
  </si>
  <si>
    <t>#4</t>
  </si>
  <si>
    <t>#5</t>
  </si>
  <si>
    <t>#6</t>
  </si>
  <si>
    <t>#7</t>
  </si>
  <si>
    <t>Project  Report</t>
  </si>
  <si>
    <t>Geftar</t>
  </si>
  <si>
    <t>July</t>
  </si>
  <si>
    <t>1&amp;2</t>
  </si>
  <si>
    <r>
      <rPr>
        <rFont val="Arial"/>
        <b/>
        <sz val="11.0"/>
      </rPr>
      <t xml:space="preserve">Peformance 
</t>
    </r>
    <r>
      <rPr>
        <rFont val="Arial"/>
        <b/>
        <color rgb="FFFF0000"/>
        <sz val="11.0"/>
      </rPr>
      <t>Rating</t>
    </r>
  </si>
  <si>
    <r>
      <rPr>
        <rFont val="Roboto"/>
        <b/>
        <color rgb="FF000000"/>
        <sz val="11.0"/>
      </rPr>
      <t xml:space="preserve">Quality
</t>
    </r>
    <r>
      <rPr>
        <rFont val="Roboto"/>
        <b/>
        <color rgb="FFFF0000"/>
        <sz val="11.0"/>
      </rPr>
      <t>Rating</t>
    </r>
  </si>
  <si>
    <r>
      <rPr>
        <rFont val="Roboto"/>
        <b/>
        <color rgb="FF000000"/>
        <sz val="11.0"/>
      </rPr>
      <t xml:space="preserve">Workload
</t>
    </r>
    <r>
      <rPr>
        <rFont val="Roboto"/>
        <b/>
        <color rgb="FF1155CC"/>
        <sz val="11.0"/>
      </rPr>
      <t>Low</t>
    </r>
    <r>
      <rPr>
        <rFont val="Roboto"/>
        <b/>
        <color rgb="FF000000"/>
        <sz val="11.0"/>
      </rPr>
      <t>/</t>
    </r>
    <r>
      <rPr>
        <rFont val="Roboto"/>
        <b/>
        <color rgb="FF38761D"/>
        <sz val="11.0"/>
      </rPr>
      <t>Normal</t>
    </r>
    <r>
      <rPr>
        <rFont val="Roboto"/>
        <b/>
        <color rgb="FF000000"/>
        <sz val="11.0"/>
      </rPr>
      <t>/</t>
    </r>
    <r>
      <rPr>
        <rFont val="Roboto"/>
        <b/>
        <color rgb="FFFF0000"/>
        <sz val="11.0"/>
      </rPr>
      <t>High</t>
    </r>
  </si>
  <si>
    <t>Jr</t>
  </si>
  <si>
    <t>Mustafa Ahmed</t>
  </si>
  <si>
    <t>tech-Lead</t>
  </si>
  <si>
    <t>Aboelhassan Omran</t>
  </si>
  <si>
    <t>Backend-Dev/ tech lead</t>
  </si>
  <si>
    <t>Fatma Magdy</t>
  </si>
  <si>
    <t>Loai Tarek</t>
  </si>
  <si>
    <t>Backend-Dev</t>
  </si>
  <si>
    <t>Mostafa Mohamed</t>
  </si>
  <si>
    <t>Toka Yasser</t>
  </si>
  <si>
    <t>Frontend-Dev</t>
  </si>
  <si>
    <t>Ahmed Samy</t>
  </si>
  <si>
    <t>Mohamed Hafez</t>
  </si>
  <si>
    <t>Mid</t>
  </si>
  <si>
    <t>Adel Hussien</t>
  </si>
  <si>
    <t>User Account Management</t>
  </si>
  <si>
    <t>Enhance user profile</t>
  </si>
  <si>
    <t>Support &amp; Information</t>
  </si>
  <si>
    <t>FAQ section implementation</t>
  </si>
  <si>
    <t>Order Customization</t>
  </si>
  <si>
    <t>Customization interactions for "Create Order" workflow</t>
  </si>
  <si>
    <t>User Communication</t>
  </si>
  <si>
    <t>Enhance pagination in Notification page</t>
  </si>
  <si>
    <t>Implement skip step in "Create Order"</t>
  </si>
  <si>
    <t>Cart Experience</t>
  </si>
  <si>
    <t>Show modal on "Add to Cart" with "Continue Shopping" and "View Cart" buttons</t>
  </si>
  <si>
    <t>Frontend</t>
  </si>
  <si>
    <t>Product Discovery</t>
  </si>
  <si>
    <t>Dynamic filter functionality for Products page</t>
  </si>
  <si>
    <t xml:space="preserve">Implement back button in "Create Order" </t>
  </si>
  <si>
    <t>SEO &amp; Discovery</t>
  </si>
  <si>
    <t>SEO optimization for Product page</t>
  </si>
  <si>
    <t>Security</t>
  </si>
  <si>
    <t>CSRF protection implementation</t>
  </si>
  <si>
    <t>Guest Access</t>
  </si>
  <si>
    <t>Guest token handling</t>
  </si>
  <si>
    <t>Payment &amp; Wallet</t>
  </si>
  <si>
    <t>Fix for failed wallet partial flow</t>
  </si>
  <si>
    <t xml:space="preserve">New profile UI </t>
  </si>
  <si>
    <t>Order Management</t>
  </si>
  <si>
    <t>Orders separation</t>
  </si>
  <si>
    <t>Orders status integration with backend</t>
  </si>
  <si>
    <t>Customizations separation</t>
  </si>
  <si>
    <t>Policy &amp; Legal</t>
  </si>
  <si>
    <t>Terms and conditions</t>
  </si>
  <si>
    <t>FAQ</t>
  </si>
  <si>
    <t>Customer Service</t>
  </si>
  <si>
    <t>Customer care design and integration</t>
  </si>
  <si>
    <t>Guest session integration</t>
  </si>
  <si>
    <t>Checkout Flow</t>
  </si>
  <si>
    <t>New interaction design &amp; implementation during checkout</t>
  </si>
  <si>
    <t>Branding &amp; UI</t>
  </si>
  <si>
    <t>Splash screen categorization</t>
  </si>
  <si>
    <t>New delivery method design</t>
  </si>
  <si>
    <t>sfh</t>
  </si>
  <si>
    <t>SMS Provider</t>
  </si>
  <si>
    <t>Server Issue  caused beta down &amp; delays in testing</t>
  </si>
  <si>
    <t>multi-currancy payment gateway</t>
  </si>
  <si>
    <t xml:space="preserve">  </t>
  </si>
  <si>
    <r>
      <rPr>
        <rFont val="Arial"/>
        <b/>
        <sz val="11.0"/>
      </rPr>
      <t xml:space="preserve">Peformance 
</t>
    </r>
    <r>
      <rPr>
        <rFont val="Arial"/>
        <b/>
        <color rgb="FFFF0000"/>
        <sz val="11.0"/>
      </rPr>
      <t>Rating</t>
    </r>
  </si>
  <si>
    <r>
      <rPr>
        <rFont val="Roboto"/>
        <b/>
        <color rgb="FF000000"/>
        <sz val="11.0"/>
      </rPr>
      <t xml:space="preserve">Quality
</t>
    </r>
    <r>
      <rPr>
        <rFont val="Roboto"/>
        <b/>
        <color rgb="FFFF0000"/>
        <sz val="11.0"/>
      </rPr>
      <t>Rating</t>
    </r>
  </si>
  <si>
    <r>
      <rPr>
        <rFont val="Roboto"/>
        <b/>
        <color rgb="FF000000"/>
        <sz val="11.0"/>
      </rPr>
      <t xml:space="preserve">Workload
</t>
    </r>
    <r>
      <rPr>
        <rFont val="Roboto"/>
        <b/>
        <color rgb="FF1155CC"/>
        <sz val="11.0"/>
      </rPr>
      <t>Low</t>
    </r>
    <r>
      <rPr>
        <rFont val="Roboto"/>
        <b/>
        <color rgb="FF000000"/>
        <sz val="11.0"/>
      </rPr>
      <t>/</t>
    </r>
    <r>
      <rPr>
        <rFont val="Roboto"/>
        <b/>
        <color rgb="FF38761D"/>
        <sz val="11.0"/>
      </rPr>
      <t>Normal</t>
    </r>
    <r>
      <rPr>
        <rFont val="Roboto"/>
        <b/>
        <color rgb="FF000000"/>
        <sz val="11.0"/>
      </rPr>
      <t>/</t>
    </r>
    <r>
      <rPr>
        <rFont val="Roboto"/>
        <b/>
        <color rgb="FFFF0000"/>
        <sz val="11.0"/>
      </rPr>
      <t>High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</si>
</sst>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&quot;-&quot;mm&quot;-&quot;dd"/>
    <numFmt numFmtId="165" formatCode="M/d/yyyy"/>
    <numFmt numFmtId="166" formatCode="&quot;$&quot;#,##0.00"/>
    <numFmt numFmtId="167" formatCode="m/d/yy"/>
  </numFmts>
  <fonts count="81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0B5394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b/>
      <sz val="8.0"/>
      <color rgb="FF0B5394"/>
      <name val="Roboto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sz val="8.0"/>
      <color rgb="FF0B5394"/>
      <name val="Roboto"/>
    </font>
    <font>
      <b/>
      <sz val="15.0"/>
      <color rgb="FF666666"/>
      <name val="Roboto"/>
    </font>
    <font>
      <b/>
      <sz val="15.0"/>
      <color rgb="FFFF9900"/>
      <name val="Roboto"/>
    </font>
    <font>
      <b/>
      <sz val="14.0"/>
      <color rgb="FF000000"/>
      <name val="Roboto"/>
    </font>
    <font>
      <sz val="15.0"/>
      <color rgb="FF999999"/>
      <name val="Roboto"/>
    </font>
    <font>
      <b/>
      <sz val="15.0"/>
      <color rgb="FFFF0000"/>
      <name val="Roboto"/>
    </font>
    <font>
      <b/>
      <sz val="15.0"/>
      <color rgb="FFCCCCCC"/>
      <name val="Roboto"/>
    </font>
    <font>
      <b/>
      <sz val="10.0"/>
      <color rgb="FF666666"/>
      <name val="Roboto"/>
    </font>
    <font>
      <sz val="13.0"/>
      <name val="Poppins"/>
    </font>
    <font>
      <b/>
      <sz val="13.0"/>
      <color rgb="FF666666"/>
      <name val="Roboto"/>
    </font>
    <font>
      <sz val="13.0"/>
      <color rgb="FF999999"/>
      <name val="Roboto"/>
    </font>
    <font>
      <b/>
      <sz val="11.0"/>
    </font>
    <font>
      <sz val="13.0"/>
      <color rgb="FF0B5394"/>
      <name val="Roboto"/>
    </font>
    <font>
      <b/>
      <sz val="13.0"/>
      <color rgb="FFFFFFFF"/>
      <name val="Arial"/>
    </font>
    <font>
      <sz val="11.0"/>
      <color rgb="FF000000"/>
      <name val="Roboto"/>
    </font>
    <font>
      <b/>
      <sz val="13.0"/>
      <name val="Roboto"/>
    </font>
    <font>
      <sz val="11.0"/>
      <name val="Roboto"/>
    </font>
    <font>
      <b/>
      <sz val="11.0"/>
      <name val="Roboto"/>
    </font>
    <font>
      <b/>
      <sz val="11.0"/>
      <color rgb="FF262626"/>
      <name val="Arial"/>
    </font>
    <font>
      <b/>
      <sz val="11.0"/>
      <name val="Arial"/>
    </font>
    <font>
      <b/>
      <sz val="11.0"/>
      <color rgb="FF000000"/>
      <name val="Roboto"/>
    </font>
    <font>
      <b/>
      <sz val="11.0"/>
      <color rgb="FF434343"/>
      <name val="Arial"/>
    </font>
    <font>
      <b/>
      <color rgb="FF434343"/>
      <name val="Arial"/>
    </font>
    <font>
      <sz val="11.0"/>
      <name val="Arial"/>
    </font>
    <font>
      <sz val="16.0"/>
      <name val="Arial"/>
    </font>
    <font>
      <sz val="16.0"/>
      <color rgb="FF000000"/>
      <name val="Roboto"/>
    </font>
    <font>
      <sz val="16.0"/>
    </font>
    <font>
      <b/>
      <color rgb="FF434343"/>
    </font>
    <font>
      <color rgb="FF0B5394"/>
    </font>
    <font>
      <sz val="9.0"/>
      <color rgb="FFFFFFFF"/>
      <name val="Roboto"/>
    </font>
    <font>
      <b/>
      <sz val="9.0"/>
      <color rgb="FFFFFFFF"/>
      <name val="Roboto"/>
    </font>
    <font>
      <b/>
      <sz val="9.0"/>
      <color rgb="FF434343"/>
      <name val="Roboto"/>
    </font>
    <font>
      <b/>
      <sz val="9.0"/>
      <color rgb="FF0B5394"/>
      <name val="Roboto"/>
    </font>
    <font>
      <b/>
      <sz val="9.0"/>
      <color rgb="FF45818E"/>
      <name val="Roboto"/>
    </font>
    <font>
      <b/>
      <sz val="9.0"/>
      <color rgb="FF666666"/>
      <name val="Roboto"/>
    </font>
    <font>
      <sz val="9.0"/>
      <color rgb="FF434343"/>
      <name val="Roboto"/>
    </font>
    <font>
      <b/>
      <sz val="16.0"/>
      <color rgb="FF000000"/>
      <name val="Roboto"/>
    </font>
    <font>
      <b/>
      <sz val="16.0"/>
      <color rgb="FF434343"/>
      <name val="Roboto"/>
    </font>
    <font>
      <b/>
      <sz val="16.0"/>
      <color rgb="FFFF0000"/>
      <name val="Roboto"/>
    </font>
    <font>
      <b/>
      <sz val="16.0"/>
      <color rgb="FF45818E"/>
      <name val="Roboto"/>
    </font>
    <font>
      <b/>
      <sz val="16.0"/>
      <color rgb="FFB85B22"/>
      <name val="Roboto"/>
    </font>
    <font>
      <name val="Arial"/>
    </font>
    <font>
      <name val="Roboto"/>
    </font>
    <font>
      <color rgb="FF0B5394"/>
      <name val="Roboto"/>
    </font>
    <font>
      <name val="Times New Roman"/>
    </font>
    <font>
      <color rgb="FF45818E"/>
      <name val="Roboto"/>
    </font>
    <font>
      <color rgb="FFB85B22"/>
      <name val="Roboto"/>
    </font>
    <font>
      <b/>
      <sz val="11.0"/>
      <color rgb="FF434343"/>
      <name val="Roboto"/>
    </font>
    <font>
      <sz val="10.0"/>
      <color rgb="FF0B5394"/>
      <name val="Roboto"/>
    </font>
    <font>
      <b/>
      <sz val="11.0"/>
      <color rgb="FF0B5394"/>
      <name val="Roboto"/>
    </font>
    <font>
      <sz val="11.0"/>
      <color rgb="FF434343"/>
      <name val="Roboto"/>
    </font>
    <font>
      <sz val="10.0"/>
      <color rgb="FF45818E"/>
      <name val="Roboto"/>
    </font>
    <font>
      <b/>
      <sz val="10.0"/>
      <color rgb="FF45818E"/>
      <name val="Roboto"/>
    </font>
    <font>
      <sz val="10.0"/>
      <color rgb="FFB85B22"/>
      <name val="Roboto"/>
    </font>
    <font>
      <sz val="11.0"/>
      <color rgb="FF0B5394"/>
      <name val="Roboto"/>
    </font>
    <font>
      <sz val="11.0"/>
      <color rgb="FF45818E"/>
      <name val="Roboto"/>
    </font>
    <font>
      <sz val="11.0"/>
      <color rgb="FFB85B22"/>
      <name val="Roboto"/>
    </font>
    <font>
      <sz val="11.0"/>
      <color rgb="FFFFFFFF"/>
      <name val="Roboto"/>
    </font>
    <font>
      <b/>
      <sz val="15.0"/>
      <color rgb="FFCC0000"/>
      <name val="Roboto"/>
    </font>
    <font>
      <sz val="11.0"/>
      <color rgb="FF434343"/>
      <name val="Arial"/>
    </font>
    <font>
      <sz val="11.0"/>
      <color rgb="FF262626"/>
      <name val="Arial"/>
    </font>
    <font>
      <sz val="11.0"/>
      <color rgb="FF595959"/>
      <name val="Arial"/>
    </font>
    <font>
      <sz val="10.0"/>
      <color rgb="FF0000FF"/>
      <name val="Roboto"/>
    </font>
    <font>
      <sz val="11.0"/>
      <color rgb="FF0000FF"/>
      <name val="Roboto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D966"/>
        <bgColor rgb="FFFFD966"/>
      </patternFill>
    </fill>
    <fill>
      <patternFill patternType="solid">
        <fgColor rgb="FFA64D79"/>
        <bgColor rgb="FFA64D79"/>
      </patternFill>
    </fill>
    <fill>
      <patternFill patternType="solid">
        <fgColor rgb="FFD9D9D9"/>
        <bgColor rgb="FFD9D9D9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B85B22"/>
        <bgColor rgb="FFB85B22"/>
      </patternFill>
    </fill>
    <fill>
      <patternFill patternType="solid">
        <fgColor rgb="FFF1C232"/>
        <bgColor rgb="FFF1C232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</fills>
  <borders count="22">
    <border/>
    <border>
      <bottom style="thick">
        <color rgb="FF0B5394"/>
      </bottom>
    </border>
    <border>
      <bottom style="hair">
        <color rgb="FF999999"/>
      </bottom>
    </border>
    <border>
      <bottom style="thin">
        <color rgb="FFD9D9D9"/>
      </bottom>
    </border>
    <border>
      <left style="thin">
        <color rgb="FF000000"/>
      </left>
      <top style="thin">
        <color rgb="FF000000"/>
      </top>
      <bottom style="thin">
        <color rgb="FFD9D9D9"/>
      </bottom>
    </border>
    <border>
      <top style="thin">
        <color rgb="FF000000"/>
      </top>
      <bottom style="thin">
        <color rgb="FFD9D9D9"/>
      </bottom>
    </border>
    <border>
      <right style="thin">
        <color rgb="FF000000"/>
      </right>
      <top style="thin">
        <color rgb="FF000000"/>
      </top>
      <bottom style="thin">
        <color rgb="FFD9D9D9"/>
      </bottom>
    </border>
    <border>
      <left style="thin">
        <color rgb="FF000000"/>
      </left>
      <bottom style="thin">
        <color rgb="FFD9D9D9"/>
      </bottom>
    </border>
    <border>
      <right style="thin">
        <color rgb="FF000000"/>
      </right>
      <bottom style="thin">
        <color rgb="FFD9D9D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434343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left" readingOrder="0" shrinkToFit="0" vertical="center" wrapText="0"/>
    </xf>
    <xf borderId="0" fillId="2" fontId="3" numFmtId="0" xfId="0" applyAlignment="1" applyFont="1">
      <alignment horizontal="left"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3" fontId="6" numFmtId="0" xfId="0" applyAlignment="1" applyFill="1" applyFont="1">
      <alignment vertical="center"/>
    </xf>
    <xf borderId="1" fillId="2" fontId="7" numFmtId="0" xfId="0" applyAlignment="1" applyBorder="1" applyFont="1">
      <alignment horizontal="left"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horizontal="left" readingOrder="0" shrinkToFit="0" vertical="center" wrapText="0"/>
    </xf>
    <xf borderId="1" fillId="2" fontId="10" numFmtId="0" xfId="0" applyAlignment="1" applyBorder="1" applyFont="1">
      <alignment horizontal="left" readingOrder="0" shrinkToFit="0" vertical="center" wrapText="0"/>
    </xf>
    <xf borderId="1" fillId="2" fontId="11" numFmtId="0" xfId="0" applyAlignment="1" applyBorder="1" applyFont="1">
      <alignment readingOrder="0" shrinkToFit="0" vertical="center" wrapText="1"/>
    </xf>
    <xf borderId="0" fillId="3" fontId="12" numFmtId="0" xfId="0" applyAlignment="1" applyFont="1">
      <alignment horizontal="center" readingOrder="0" shrinkToFit="0" vertical="center" wrapText="0"/>
    </xf>
    <xf borderId="0" fillId="3" fontId="12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2" fontId="14" numFmtId="0" xfId="0" applyAlignment="1" applyFont="1">
      <alignment readingOrder="0" shrinkToFit="0" vertical="center" wrapText="0"/>
    </xf>
    <xf borderId="0" fillId="2" fontId="14" numFmtId="0" xfId="0" applyAlignment="1" applyFont="1">
      <alignment horizontal="center" readingOrder="0" shrinkToFit="0" vertical="center" wrapText="0"/>
    </xf>
    <xf borderId="0" fillId="2" fontId="14" numFmtId="0" xfId="0" applyAlignment="1" applyFont="1">
      <alignment horizontal="left" readingOrder="0" shrinkToFit="0" vertical="center" wrapText="0"/>
    </xf>
    <xf borderId="0" fillId="2" fontId="15" numFmtId="0" xfId="0" applyAlignment="1" applyFont="1">
      <alignment horizontal="left" shrinkToFit="0" vertical="center" wrapText="0"/>
    </xf>
    <xf borderId="0" fillId="2" fontId="15" numFmtId="0" xfId="0" applyAlignment="1" applyFont="1">
      <alignment shrinkToFit="0" vertical="center" wrapText="0"/>
    </xf>
    <xf borderId="0" fillId="0" fontId="16" numFmtId="0" xfId="0" applyAlignment="1" applyFont="1">
      <alignment vertical="center"/>
    </xf>
    <xf borderId="0" fillId="3" fontId="17" numFmtId="0" xfId="0" applyAlignment="1" applyFont="1">
      <alignment horizontal="center" readingOrder="0" shrinkToFit="0" vertical="center" wrapText="0"/>
    </xf>
    <xf borderId="2" fillId="3" fontId="17" numFmtId="0" xfId="0" applyAlignment="1" applyBorder="1" applyFont="1">
      <alignment horizontal="left" readingOrder="0" shrinkToFit="0" vertical="center" wrapText="0"/>
    </xf>
    <xf borderId="0" fillId="3" fontId="17" numFmtId="0" xfId="0" applyAlignment="1" applyFont="1">
      <alignment horizontal="left" readingOrder="0" shrinkToFit="0" vertical="center" wrapText="0"/>
    </xf>
    <xf borderId="3" fillId="0" fontId="18" numFmtId="0" xfId="0" applyAlignment="1" applyBorder="1" applyFont="1">
      <alignment horizontal="left" readingOrder="0" shrinkToFit="0" vertical="center" wrapText="0"/>
    </xf>
    <xf borderId="3" fillId="0" fontId="8" numFmtId="0" xfId="0" applyBorder="1" applyFont="1"/>
    <xf borderId="0" fillId="2" fontId="19" numFmtId="0" xfId="0" applyAlignment="1" applyFont="1">
      <alignment readingOrder="0" shrinkToFit="0" vertical="center" wrapText="0"/>
    </xf>
    <xf borderId="0" fillId="2" fontId="18" numFmtId="0" xfId="0" applyAlignment="1" applyFont="1">
      <alignment readingOrder="0" shrinkToFit="0" vertical="center" wrapText="0"/>
    </xf>
    <xf borderId="0" fillId="2" fontId="20" numFmtId="164" xfId="0" applyAlignment="1" applyFont="1" applyNumberFormat="1">
      <alignment horizontal="center" readingOrder="0" shrinkToFit="0" vertical="center" wrapText="0"/>
    </xf>
    <xf borderId="0" fillId="2" fontId="21" numFmtId="0" xfId="0" applyAlignment="1" applyFont="1">
      <alignment horizontal="left" readingOrder="0" shrinkToFit="0" vertical="center" wrapText="0"/>
    </xf>
    <xf borderId="4" fillId="4" fontId="18" numFmtId="0" xfId="0" applyAlignment="1" applyBorder="1" applyFill="1" applyFont="1">
      <alignment horizontal="left" readingOrder="0" shrinkToFit="0" vertical="center" wrapText="0"/>
    </xf>
    <xf borderId="5" fillId="5" fontId="21" numFmtId="0" xfId="0" applyAlignment="1" applyBorder="1" applyFill="1" applyFont="1">
      <alignment horizontal="center" readingOrder="0" vertical="center"/>
    </xf>
    <xf borderId="5" fillId="6" fontId="22" numFmtId="0" xfId="0" applyAlignment="1" applyBorder="1" applyFill="1" applyFont="1">
      <alignment horizontal="center" readingOrder="0" vertical="center"/>
    </xf>
    <xf borderId="5" fillId="5" fontId="23" numFmtId="0" xfId="0" applyAlignment="1" applyBorder="1" applyFont="1">
      <alignment horizontal="center" readingOrder="0" vertical="center"/>
    </xf>
    <xf borderId="6" fillId="4" fontId="24" numFmtId="0" xfId="0" applyAlignment="1" applyBorder="1" applyFont="1">
      <alignment horizontal="left" readingOrder="0" shrinkToFit="0" vertical="center" wrapText="0"/>
    </xf>
    <xf borderId="3" fillId="0" fontId="24" numFmtId="0" xfId="0" applyAlignment="1" applyBorder="1" applyFont="1">
      <alignment horizontal="left" readingOrder="0" shrinkToFit="0" vertical="center" wrapText="0"/>
    </xf>
    <xf borderId="0" fillId="0" fontId="24" numFmtId="0" xfId="0" applyAlignment="1" applyFont="1">
      <alignment horizontal="left" readingOrder="0" shrinkToFit="0" vertical="center" wrapText="0"/>
    </xf>
    <xf borderId="0" fillId="0" fontId="25" numFmtId="0" xfId="0" applyAlignment="1" applyFont="1">
      <alignment vertical="center"/>
    </xf>
    <xf borderId="0" fillId="0" fontId="26" numFmtId="0" xfId="0" applyAlignment="1" applyFont="1">
      <alignment horizontal="left" readingOrder="0" shrinkToFit="0" vertical="center" wrapText="0"/>
    </xf>
    <xf borderId="3" fillId="2" fontId="19" numFmtId="0" xfId="0" applyAlignment="1" applyBorder="1" applyFont="1">
      <alignment readingOrder="0" shrinkToFit="0" vertical="center" wrapText="0"/>
    </xf>
    <xf borderId="3" fillId="2" fontId="18" numFmtId="0" xfId="0" applyAlignment="1" applyBorder="1" applyFont="1">
      <alignment readingOrder="0" shrinkToFit="0" vertical="center" wrapText="0"/>
    </xf>
    <xf borderId="3" fillId="2" fontId="20" numFmtId="164" xfId="0" applyAlignment="1" applyBorder="1" applyFont="1" applyNumberFormat="1">
      <alignment horizontal="center" readingOrder="0" shrinkToFit="0" vertical="center" wrapText="0"/>
    </xf>
    <xf borderId="0" fillId="0" fontId="27" numFmtId="0" xfId="0" applyAlignment="1" applyFont="1">
      <alignment horizontal="left" readingOrder="0" shrinkToFit="0" vertical="center" wrapText="0"/>
    </xf>
    <xf borderId="7" fillId="4" fontId="26" numFmtId="0" xfId="0" applyAlignment="1" applyBorder="1" applyFont="1">
      <alignment horizontal="left" readingOrder="0" shrinkToFit="0" vertical="center" wrapText="0"/>
    </xf>
    <xf borderId="0" fillId="4" fontId="28" numFmtId="0" xfId="0" applyAlignment="1" applyFont="1">
      <alignment horizontal="center" readingOrder="0"/>
    </xf>
    <xf borderId="3" fillId="4" fontId="26" numFmtId="0" xfId="0" applyAlignment="1" applyBorder="1" applyFont="1">
      <alignment horizontal="left" readingOrder="0" shrinkToFit="0" vertical="center" wrapText="0"/>
    </xf>
    <xf borderId="8" fillId="4" fontId="26" numFmtId="0" xfId="0" applyAlignment="1" applyBorder="1" applyFont="1">
      <alignment horizontal="left" readingOrder="0" shrinkToFit="0" vertical="center" wrapText="0"/>
    </xf>
    <xf borderId="3" fillId="0" fontId="26" numFmtId="0" xfId="0" applyAlignment="1" applyBorder="1" applyFont="1">
      <alignment horizontal="left" readingOrder="0" shrinkToFit="0" vertical="center" wrapText="0"/>
    </xf>
    <xf borderId="0" fillId="3" fontId="29" numFmtId="0" xfId="0" applyAlignment="1" applyFont="1">
      <alignment horizontal="center" readingOrder="0" shrinkToFit="0" vertical="center" wrapText="0"/>
    </xf>
    <xf borderId="2" fillId="3" fontId="29" numFmtId="0" xfId="0" applyAlignment="1" applyBorder="1" applyFont="1">
      <alignment horizontal="left" readingOrder="0" shrinkToFit="0" vertical="center" wrapText="0"/>
    </xf>
    <xf borderId="0" fillId="3" fontId="29" numFmtId="0" xfId="0" applyAlignment="1" applyFont="1">
      <alignment horizontal="left" readingOrder="0" shrinkToFit="0" vertical="center" wrapText="0"/>
    </xf>
    <xf borderId="9" fillId="7" fontId="30" numFmtId="0" xfId="0" applyAlignment="1" applyBorder="1" applyFill="1" applyFont="1">
      <alignment horizontal="center"/>
    </xf>
    <xf borderId="10" fillId="0" fontId="8" numFmtId="0" xfId="0" applyBorder="1" applyFont="1"/>
    <xf borderId="11" fillId="0" fontId="8" numFmtId="0" xfId="0" applyBorder="1" applyFont="1"/>
    <xf borderId="0" fillId="2" fontId="31" numFmtId="0" xfId="0" applyAlignment="1" applyFont="1">
      <alignment horizontal="left" shrinkToFit="0" vertical="center" wrapText="0"/>
    </xf>
    <xf borderId="12" fillId="4" fontId="31" numFmtId="0" xfId="0" applyAlignment="1" applyBorder="1" applyFont="1">
      <alignment horizontal="center" readingOrder="0" shrinkToFit="0" vertical="center" wrapText="0"/>
    </xf>
    <xf borderId="12" fillId="4" fontId="31" numFmtId="0" xfId="0" applyAlignment="1" applyBorder="1" applyFont="1">
      <alignment readingOrder="0" shrinkToFit="0" vertical="center" wrapText="0"/>
    </xf>
    <xf borderId="12" fillId="4" fontId="26" numFmtId="0" xfId="0" applyAlignment="1" applyBorder="1" applyFont="1">
      <alignment horizontal="center" readingOrder="0" shrinkToFit="0" vertical="center" wrapText="0"/>
    </xf>
    <xf borderId="13" fillId="8" fontId="32" numFmtId="0" xfId="0" applyAlignment="1" applyBorder="1" applyFill="1" applyFont="1">
      <alignment vertical="center"/>
    </xf>
    <xf borderId="0" fillId="0" fontId="33" numFmtId="0" xfId="0" applyAlignment="1" applyFont="1">
      <alignment vertical="center"/>
    </xf>
    <xf borderId="14" fillId="0" fontId="34" numFmtId="0" xfId="0" applyBorder="1" applyFont="1"/>
    <xf borderId="14" fillId="0" fontId="35" numFmtId="0" xfId="0" applyAlignment="1" applyBorder="1" applyFont="1">
      <alignment horizontal="center"/>
    </xf>
    <xf borderId="14" fillId="0" fontId="36" numFmtId="0" xfId="0" applyAlignment="1" applyBorder="1" applyFont="1">
      <alignment horizontal="center"/>
    </xf>
    <xf borderId="14" fillId="0" fontId="36" numFmtId="0" xfId="0" applyAlignment="1" applyBorder="1" applyFont="1">
      <alignment horizontal="center"/>
    </xf>
    <xf borderId="14" fillId="2" fontId="37" numFmtId="0" xfId="0" applyAlignment="1" applyBorder="1" applyFont="1">
      <alignment horizontal="center"/>
    </xf>
    <xf borderId="0" fillId="2" fontId="31" numFmtId="0" xfId="0" applyAlignment="1" applyFont="1">
      <alignment shrinkToFit="0" vertical="center" wrapText="0"/>
    </xf>
    <xf borderId="14" fillId="0" fontId="33" numFmtId="0" xfId="0" applyAlignment="1" applyBorder="1" applyFont="1">
      <alignment vertical="center"/>
    </xf>
    <xf borderId="14" fillId="0" fontId="38" numFmtId="0" xfId="0" applyAlignment="1" applyBorder="1" applyFont="1">
      <alignment horizontal="center" vertical="center"/>
    </xf>
    <xf borderId="14" fillId="0" fontId="39" numFmtId="0" xfId="0" applyAlignment="1" applyBorder="1" applyFont="1">
      <alignment horizontal="center" vertical="center"/>
    </xf>
    <xf borderId="14" fillId="0" fontId="40" numFmtId="0" xfId="0" applyAlignment="1" applyBorder="1" applyFont="1">
      <alignment horizontal="center" readingOrder="0" vertical="center"/>
    </xf>
    <xf borderId="14" fillId="2" fontId="31" numFmtId="0" xfId="0" applyAlignment="1" applyBorder="1" applyFont="1">
      <alignment horizontal="center" readingOrder="0" shrinkToFit="0" vertical="center" wrapText="0"/>
    </xf>
    <xf borderId="14" fillId="2" fontId="37" numFmtId="0" xfId="0" applyAlignment="1" applyBorder="1" applyFont="1">
      <alignment horizontal="center" readingOrder="0" shrinkToFit="0" vertical="center" wrapText="0"/>
    </xf>
    <xf borderId="14" fillId="0" fontId="41" numFmtId="0" xfId="0" applyAlignment="1" applyBorder="1" applyFont="1">
      <alignment horizontal="center" readingOrder="0" vertical="center"/>
    </xf>
    <xf borderId="14" fillId="2" fontId="42" numFmtId="0" xfId="0" applyAlignment="1" applyBorder="1" applyFont="1">
      <alignment horizontal="center" readingOrder="0" shrinkToFit="0" vertical="center" wrapText="0"/>
    </xf>
    <xf borderId="14" fillId="2" fontId="38" numFmtId="0" xfId="0" applyAlignment="1" applyBorder="1" applyFont="1">
      <alignment horizontal="center" vertical="center"/>
    </xf>
    <xf borderId="14" fillId="0" fontId="43" numFmtId="0" xfId="0" applyAlignment="1" applyBorder="1" applyFont="1">
      <alignment horizontal="center" readingOrder="0" vertical="center"/>
    </xf>
    <xf borderId="14" fillId="0" fontId="44" numFmtId="0" xfId="0" applyAlignment="1" applyBorder="1" applyFont="1">
      <alignment horizontal="center" readingOrder="0" vertical="center"/>
    </xf>
    <xf borderId="0" fillId="3" fontId="45" numFmtId="0" xfId="0" applyAlignment="1" applyFont="1">
      <alignment horizontal="center"/>
    </xf>
    <xf borderId="14" fillId="2" fontId="38" numFmtId="0" xfId="0" applyAlignment="1" applyBorder="1" applyFont="1">
      <alignment horizontal="center" readingOrder="0" vertical="center"/>
    </xf>
    <xf borderId="14" fillId="0" fontId="38" numFmtId="0" xfId="0" applyAlignment="1" applyBorder="1" applyFont="1">
      <alignment horizontal="center" readingOrder="0" vertical="center"/>
    </xf>
    <xf borderId="0" fillId="0" fontId="46" numFmtId="0" xfId="0" applyAlignment="1" applyFont="1">
      <alignment shrinkToFit="0" vertical="center" wrapText="0"/>
    </xf>
    <xf borderId="0" fillId="9" fontId="47" numFmtId="0" xfId="0" applyAlignment="1" applyFill="1" applyFont="1">
      <alignment horizontal="center" shrinkToFit="0" vertical="center" wrapText="1"/>
    </xf>
    <xf borderId="0" fillId="10" fontId="47" numFmtId="0" xfId="0" applyAlignment="1" applyFill="1" applyFont="1">
      <alignment horizontal="center" readingOrder="0" shrinkToFit="0" vertical="center" wrapText="1"/>
    </xf>
    <xf borderId="0" fillId="11" fontId="47" numFmtId="0" xfId="0" applyAlignment="1" applyFill="1" applyFont="1">
      <alignment horizontal="center" readingOrder="0" shrinkToFit="0" vertical="center" wrapText="1"/>
    </xf>
    <xf borderId="0" fillId="0" fontId="47" numFmtId="0" xfId="0" applyAlignment="1" applyFont="1">
      <alignment horizontal="center" readingOrder="0" shrinkToFit="0" vertical="center" wrapText="0"/>
    </xf>
    <xf borderId="0" fillId="3" fontId="45" numFmtId="0" xfId="0" applyFont="1"/>
    <xf borderId="0" fillId="0" fontId="48" numFmtId="0" xfId="0" applyAlignment="1" applyFont="1">
      <alignment vertical="center"/>
    </xf>
    <xf borderId="0" fillId="3" fontId="49" numFmtId="0" xfId="0" applyAlignment="1" applyFont="1">
      <alignment horizontal="center" shrinkToFit="0" vertical="center" wrapText="1"/>
    </xf>
    <xf borderId="0" fillId="3" fontId="50" numFmtId="0" xfId="0" applyAlignment="1" applyFont="1">
      <alignment horizontal="center" readingOrder="0" shrinkToFit="0" vertical="center" wrapText="1"/>
    </xf>
    <xf borderId="0" fillId="3" fontId="50" numFmtId="0" xfId="0" applyAlignment="1" applyFont="1">
      <alignment horizontal="center" shrinkToFit="0" vertical="center" wrapText="1"/>
    </xf>
    <xf borderId="0" fillId="3" fontId="51" numFmtId="0" xfId="0" applyAlignment="1" applyFont="1">
      <alignment horizontal="center" readingOrder="0" shrinkToFit="0" vertical="center" wrapText="1"/>
    </xf>
    <xf borderId="0" fillId="3" fontId="51" numFmtId="0" xfId="0" applyAlignment="1" applyFont="1">
      <alignment horizontal="center" shrinkToFit="0" vertical="center" wrapText="1"/>
    </xf>
    <xf borderId="0" fillId="0" fontId="52" numFmtId="0" xfId="0" applyAlignment="1" applyFont="1">
      <alignment horizontal="center" readingOrder="0" shrinkToFit="0" vertical="center" wrapText="0"/>
    </xf>
    <xf borderId="0" fillId="2" fontId="53" numFmtId="0" xfId="0" applyAlignment="1" applyFont="1">
      <alignment vertical="bottom"/>
    </xf>
    <xf borderId="15" fillId="2" fontId="54" numFmtId="0" xfId="0" applyAlignment="1" applyBorder="1" applyFont="1">
      <alignment horizontal="left" readingOrder="0" shrinkToFit="0" vertical="bottom" wrapText="0"/>
    </xf>
    <xf borderId="15" fillId="0" fontId="8" numFmtId="0" xfId="0" applyBorder="1" applyFont="1"/>
    <xf borderId="15" fillId="2" fontId="55" numFmtId="0" xfId="0" applyAlignment="1" applyBorder="1" applyFont="1">
      <alignment readingOrder="0" vertical="bottom"/>
    </xf>
    <xf borderId="15" fillId="2" fontId="56" numFmtId="9" xfId="0" applyAlignment="1" applyBorder="1" applyFont="1" applyNumberFormat="1">
      <alignment horizontal="center" shrinkToFit="0" vertical="bottom" wrapText="1"/>
    </xf>
    <xf borderId="15" fillId="2" fontId="57" numFmtId="1" xfId="0" applyAlignment="1" applyBorder="1" applyFont="1" applyNumberFormat="1">
      <alignment horizontal="center" shrinkToFit="0" vertical="bottom" wrapText="1"/>
    </xf>
    <xf borderId="15" fillId="2" fontId="57" numFmtId="3" xfId="0" applyAlignment="1" applyBorder="1" applyFont="1" applyNumberFormat="1">
      <alignment horizontal="center" shrinkToFit="0" vertical="bottom" wrapText="1"/>
    </xf>
    <xf borderId="0" fillId="2" fontId="53" numFmtId="0" xfId="0" applyAlignment="1" applyFont="1">
      <alignment horizontal="center" shrinkToFit="0" vertical="bottom" wrapText="0"/>
    </xf>
    <xf borderId="0" fillId="0" fontId="58" numFmtId="0" xfId="0" applyFont="1"/>
    <xf borderId="0" fillId="0" fontId="59" numFmtId="0" xfId="0" applyAlignment="1" applyFont="1">
      <alignment horizontal="center" shrinkToFit="0" wrapText="1"/>
    </xf>
    <xf borderId="0" fillId="0" fontId="60" numFmtId="165" xfId="0" applyAlignment="1" applyFont="1" applyNumberFormat="1">
      <alignment horizontal="center" shrinkToFit="0" wrapText="1"/>
    </xf>
    <xf borderId="0" fillId="0" fontId="60" numFmtId="3" xfId="0" applyAlignment="1" applyFont="1" applyNumberFormat="1">
      <alignment horizontal="center" shrinkToFit="0" wrapText="1"/>
    </xf>
    <xf borderId="0" fillId="0" fontId="60" numFmtId="0" xfId="0" applyAlignment="1" applyFont="1">
      <alignment horizontal="center" shrinkToFit="0" wrapText="1"/>
    </xf>
    <xf borderId="0" fillId="0" fontId="59" numFmtId="0" xfId="0" applyAlignment="1" applyFont="1">
      <alignment horizontal="center"/>
    </xf>
    <xf borderId="0" fillId="0" fontId="61" numFmtId="0" xfId="0" applyAlignment="1" applyFont="1">
      <alignment vertical="bottom"/>
    </xf>
    <xf borderId="0" fillId="0" fontId="62" numFmtId="0" xfId="0" applyAlignment="1" applyFont="1">
      <alignment horizontal="center"/>
    </xf>
    <xf borderId="0" fillId="0" fontId="62" numFmtId="9" xfId="0" applyAlignment="1" applyFont="1" applyNumberFormat="1">
      <alignment horizontal="center" shrinkToFit="0" wrapText="1"/>
    </xf>
    <xf borderId="0" fillId="0" fontId="63" numFmtId="1" xfId="0" applyAlignment="1" applyFont="1" applyNumberFormat="1">
      <alignment horizontal="center" shrinkToFit="0" wrapText="1"/>
    </xf>
    <xf borderId="0" fillId="0" fontId="63" numFmtId="0" xfId="0" applyAlignment="1" applyFont="1">
      <alignment horizontal="center" shrinkToFit="0" wrapText="1"/>
    </xf>
    <xf borderId="0" fillId="0" fontId="64" numFmtId="0" xfId="0" applyAlignment="1" applyFont="1">
      <alignment horizontal="center" shrinkToFit="0" vertical="center" wrapText="0"/>
    </xf>
    <xf borderId="0" fillId="3" fontId="65" numFmtId="0" xfId="0" applyAlignment="1" applyFont="1">
      <alignment readingOrder="0" shrinkToFit="0" vertical="center" wrapText="0"/>
    </xf>
    <xf borderId="0" fillId="0" fontId="58" numFmtId="165" xfId="0" applyFont="1" applyNumberFormat="1"/>
    <xf borderId="0" fillId="0" fontId="58" numFmtId="3" xfId="0" applyFont="1" applyNumberFormat="1"/>
    <xf borderId="0" fillId="0" fontId="62" numFmtId="9" xfId="0" applyAlignment="1" applyFont="1" applyNumberFormat="1">
      <alignment horizontal="center" readingOrder="0" shrinkToFit="0" wrapText="1"/>
    </xf>
    <xf borderId="0" fillId="0" fontId="63" numFmtId="1" xfId="0" applyAlignment="1" applyFont="1" applyNumberFormat="1">
      <alignment horizontal="center" readingOrder="0" shrinkToFit="0" wrapText="1"/>
    </xf>
    <xf borderId="0" fillId="0" fontId="58" numFmtId="0" xfId="0" applyFont="1"/>
    <xf borderId="0" fillId="0" fontId="58" numFmtId="0" xfId="0" applyAlignment="1" applyFont="1">
      <alignment horizontal="center" readingOrder="0"/>
    </xf>
    <xf borderId="0" fillId="3" fontId="66" numFmtId="0" xfId="0" applyAlignment="1" applyFont="1">
      <alignment horizontal="center" shrinkToFit="0" vertical="center" wrapText="0"/>
    </xf>
    <xf borderId="0" fillId="0" fontId="58" numFmtId="0" xfId="0" applyAlignment="1" applyFont="1">
      <alignment readingOrder="0"/>
    </xf>
    <xf borderId="12" fillId="0" fontId="58" numFmtId="0" xfId="0" applyAlignment="1" applyBorder="1" applyFont="1">
      <alignment readingOrder="0" vertical="bottom"/>
    </xf>
    <xf borderId="0" fillId="0" fontId="58" numFmtId="0" xfId="0" applyAlignment="1" applyFont="1">
      <alignment horizontal="center"/>
    </xf>
    <xf borderId="0" fillId="0" fontId="58" numFmtId="9" xfId="0" applyFont="1" applyNumberFormat="1"/>
    <xf borderId="0" fillId="0" fontId="58" numFmtId="166" xfId="0" applyFont="1" applyNumberFormat="1"/>
    <xf borderId="0" fillId="0" fontId="67" numFmtId="0" xfId="0" applyAlignment="1" applyFont="1">
      <alignment vertical="center"/>
    </xf>
    <xf borderId="0" fillId="0" fontId="65" numFmtId="9" xfId="0" applyAlignment="1" applyFont="1" applyNumberFormat="1">
      <alignment horizontal="left" shrinkToFit="0" vertical="center" wrapText="1"/>
    </xf>
    <xf borderId="0" fillId="0" fontId="65" numFmtId="9" xfId="0" applyAlignment="1" applyFont="1" applyNumberFormat="1">
      <alignment horizontal="center" shrinkToFit="0" vertical="center" wrapText="1"/>
    </xf>
    <xf borderId="0" fillId="0" fontId="68" numFmtId="166" xfId="0" applyAlignment="1" applyFont="1" applyNumberFormat="1">
      <alignment vertical="center"/>
    </xf>
    <xf borderId="0" fillId="0" fontId="69" numFmtId="9" xfId="0" applyAlignment="1" applyFont="1" applyNumberFormat="1">
      <alignment horizontal="center" shrinkToFit="0" vertical="center" wrapText="1"/>
    </xf>
    <xf borderId="0" fillId="0" fontId="70" numFmtId="166" xfId="0" applyAlignment="1" applyFont="1" applyNumberFormat="1">
      <alignment horizontal="right" shrinkToFit="0" vertical="center" wrapText="1"/>
    </xf>
    <xf borderId="0" fillId="0" fontId="70" numFmtId="0" xfId="0" applyAlignment="1" applyFont="1">
      <alignment vertical="center"/>
    </xf>
    <xf borderId="0" fillId="0" fontId="64" numFmtId="0" xfId="0" applyAlignment="1" applyFont="1">
      <alignment horizontal="center" shrinkToFit="0" vertical="center" wrapText="0"/>
    </xf>
    <xf borderId="0" fillId="3" fontId="66" numFmtId="0" xfId="0" applyAlignment="1" applyFont="1">
      <alignment horizontal="center" shrinkToFit="0" vertical="center" wrapText="0"/>
    </xf>
    <xf borderId="0" fillId="0" fontId="71" numFmtId="0" xfId="0" applyAlignment="1" applyFont="1">
      <alignment horizontal="left" shrinkToFit="0" vertical="center" wrapText="1"/>
    </xf>
    <xf borderId="0" fillId="0" fontId="71" numFmtId="0" xfId="0" applyAlignment="1" applyFont="1">
      <alignment horizontal="left" vertical="center"/>
    </xf>
    <xf borderId="0" fillId="0" fontId="71" numFmtId="167" xfId="0" applyAlignment="1" applyFont="1" applyNumberFormat="1">
      <alignment horizontal="center" shrinkToFit="0" vertical="center" wrapText="1"/>
    </xf>
    <xf borderId="0" fillId="0" fontId="71" numFmtId="3" xfId="0" applyAlignment="1" applyFont="1" applyNumberFormat="1">
      <alignment horizontal="center" shrinkToFit="0" vertical="center" wrapText="1"/>
    </xf>
    <xf borderId="0" fillId="0" fontId="71" numFmtId="0" xfId="0" applyAlignment="1" applyFont="1">
      <alignment horizontal="center" vertical="center"/>
    </xf>
    <xf borderId="0" fillId="0" fontId="71" numFmtId="9" xfId="0" applyAlignment="1" applyFont="1" applyNumberFormat="1">
      <alignment horizontal="center" vertical="center"/>
    </xf>
    <xf borderId="0" fillId="0" fontId="71" numFmtId="9" xfId="0" applyAlignment="1" applyFont="1" applyNumberFormat="1">
      <alignment horizontal="left" vertical="center"/>
    </xf>
    <xf borderId="0" fillId="0" fontId="72" numFmtId="166" xfId="0" applyAlignment="1" applyFont="1" applyNumberFormat="1">
      <alignment vertical="center"/>
    </xf>
    <xf borderId="0" fillId="0" fontId="72" numFmtId="9" xfId="0" applyAlignment="1" applyFont="1" applyNumberFormat="1">
      <alignment horizontal="center" shrinkToFit="0" vertical="center" wrapText="1"/>
    </xf>
    <xf borderId="0" fillId="0" fontId="73" numFmtId="166" xfId="0" applyAlignment="1" applyFont="1" applyNumberFormat="1">
      <alignment horizontal="right" shrinkToFit="0" vertical="center" wrapText="1"/>
    </xf>
    <xf borderId="0" fillId="0" fontId="73" numFmtId="0" xfId="0" applyAlignment="1" applyFont="1">
      <alignment vertical="center"/>
    </xf>
    <xf borderId="0" fillId="0" fontId="67" numFmtId="0" xfId="0" applyAlignment="1" applyFont="1">
      <alignment horizontal="left" shrinkToFit="0" vertical="center" wrapText="1"/>
    </xf>
    <xf borderId="0" fillId="0" fontId="67" numFmtId="0" xfId="0" applyAlignment="1" applyFont="1">
      <alignment horizontal="left" vertical="center"/>
    </xf>
    <xf borderId="0" fillId="0" fontId="67" numFmtId="167" xfId="0" applyAlignment="1" applyFont="1" applyNumberFormat="1">
      <alignment horizontal="center" shrinkToFit="0" vertical="center" wrapText="1"/>
    </xf>
    <xf borderId="0" fillId="0" fontId="67" numFmtId="3" xfId="0" applyAlignment="1" applyFont="1" applyNumberFormat="1">
      <alignment horizontal="center" shrinkToFit="0" vertical="center" wrapText="1"/>
    </xf>
    <xf borderId="0" fillId="0" fontId="67" numFmtId="0" xfId="0" applyAlignment="1" applyFont="1">
      <alignment horizontal="center" vertical="center"/>
    </xf>
    <xf borderId="0" fillId="0" fontId="67" numFmtId="9" xfId="0" applyAlignment="1" applyFont="1" applyNumberFormat="1">
      <alignment horizontal="center" vertical="center"/>
    </xf>
    <xf borderId="0" fillId="0" fontId="67" numFmtId="9" xfId="0" applyAlignment="1" applyFont="1" applyNumberFormat="1">
      <alignment horizontal="left" vertical="center"/>
    </xf>
    <xf borderId="0" fillId="0" fontId="67" numFmtId="166" xfId="0" applyAlignment="1" applyFont="1" applyNumberFormat="1">
      <alignment vertical="center"/>
    </xf>
    <xf borderId="0" fillId="0" fontId="67" numFmtId="9" xfId="0" applyAlignment="1" applyFont="1" applyNumberFormat="1">
      <alignment horizontal="center" shrinkToFit="0" vertical="center" wrapText="1"/>
    </xf>
    <xf borderId="0" fillId="0" fontId="67" numFmtId="166" xfId="0" applyAlignment="1" applyFont="1" applyNumberFormat="1">
      <alignment horizontal="right" shrinkToFit="0" vertical="center" wrapText="1"/>
    </xf>
    <xf borderId="0" fillId="0" fontId="67" numFmtId="0" xfId="0" applyAlignment="1" applyFont="1">
      <alignment horizontal="center" vertical="center"/>
    </xf>
    <xf borderId="0" fillId="0" fontId="67" numFmtId="9" xfId="0" applyAlignment="1" applyFont="1" applyNumberFormat="1">
      <alignment horizontal="left" shrinkToFit="0" vertical="center" wrapText="1"/>
    </xf>
    <xf borderId="0" fillId="0" fontId="64" numFmtId="9" xfId="0" applyAlignment="1" applyFont="1" applyNumberFormat="1">
      <alignment horizontal="center" shrinkToFit="0" vertical="center" wrapText="1"/>
    </xf>
    <xf borderId="16" fillId="12" fontId="67" numFmtId="0" xfId="0" applyAlignment="1" applyBorder="1" applyFill="1" applyFont="1">
      <alignment horizontal="left" readingOrder="0" shrinkToFit="0" vertical="center" wrapText="1"/>
    </xf>
    <xf borderId="17" fillId="0" fontId="8" numFmtId="0" xfId="0" applyBorder="1" applyFont="1"/>
    <xf borderId="18" fillId="13" fontId="67" numFmtId="0" xfId="0" applyAlignment="1" applyBorder="1" applyFill="1" applyFont="1">
      <alignment horizontal="center" readingOrder="0" shrinkToFit="0" vertical="center" wrapText="1"/>
    </xf>
    <xf borderId="18" fillId="0" fontId="8" numFmtId="0" xfId="0" applyBorder="1" applyFont="1"/>
    <xf borderId="18" fillId="14" fontId="74" numFmtId="0" xfId="0" applyAlignment="1" applyBorder="1" applyFill="1" applyFont="1">
      <alignment horizontal="center" readingOrder="0" shrinkToFit="0" vertical="center" wrapText="1"/>
    </xf>
    <xf borderId="14" fillId="6" fontId="67" numFmtId="0" xfId="0" applyAlignment="1" applyBorder="1" applyFont="1">
      <alignment horizontal="center" readingOrder="0" shrinkToFit="0" vertical="center" wrapText="1"/>
    </xf>
    <xf borderId="14" fillId="0" fontId="67" numFmtId="0" xfId="0" applyAlignment="1" applyBorder="1" applyFont="1">
      <alignment horizontal="center" readingOrder="0" shrinkToFit="0" vertical="center" wrapText="1"/>
    </xf>
    <xf borderId="19" fillId="0" fontId="67" numFmtId="0" xfId="0" applyAlignment="1" applyBorder="1" applyFont="1">
      <alignment horizontal="center" readingOrder="0" shrinkToFit="0" vertical="center" wrapText="1"/>
    </xf>
    <xf borderId="20" fillId="0" fontId="67" numFmtId="0" xfId="0" applyAlignment="1" applyBorder="1" applyFont="1">
      <alignment horizontal="left" readingOrder="0" shrinkToFit="0" vertical="center" wrapText="1"/>
    </xf>
    <xf borderId="20" fillId="0" fontId="67" numFmtId="0" xfId="0" applyAlignment="1" applyBorder="1" applyFont="1">
      <alignment horizontal="center" readingOrder="0" shrinkToFit="0" vertical="center" wrapText="1"/>
    </xf>
    <xf borderId="17" fillId="0" fontId="67" numFmtId="0" xfId="0" applyAlignment="1" applyBorder="1" applyFont="1">
      <alignment horizontal="center" readingOrder="0" shrinkToFit="0" vertical="center" wrapText="1"/>
    </xf>
    <xf borderId="20" fillId="0" fontId="67" numFmtId="3" xfId="0" applyAlignment="1" applyBorder="1" applyFont="1" applyNumberFormat="1">
      <alignment horizontal="center" readingOrder="0" shrinkToFit="0" vertical="center" wrapText="1"/>
    </xf>
    <xf borderId="14" fillId="15" fontId="67" numFmtId="0" xfId="0" applyAlignment="1" applyBorder="1" applyFill="1" applyFont="1">
      <alignment horizontal="center" readingOrder="0" vertical="center"/>
    </xf>
    <xf borderId="14" fillId="0" fontId="67" numFmtId="0" xfId="0" applyAlignment="1" applyBorder="1" applyFont="1">
      <alignment horizontal="center" readingOrder="0" vertical="center"/>
    </xf>
    <xf borderId="14" fillId="14" fontId="74" numFmtId="0" xfId="0" applyAlignment="1" applyBorder="1" applyFont="1">
      <alignment horizontal="center" readingOrder="0" vertical="center"/>
    </xf>
    <xf borderId="20" fillId="0" fontId="67" numFmtId="3" xfId="0" applyAlignment="1" applyBorder="1" applyFont="1" applyNumberFormat="1">
      <alignment horizontal="center" shrinkToFit="0" vertical="center" wrapText="1"/>
    </xf>
    <xf borderId="0" fillId="0" fontId="67" numFmtId="9" xfId="0" applyAlignment="1" applyFont="1" applyNumberFormat="1">
      <alignment horizontal="center" readingOrder="0" shrinkToFit="0" vertical="center" wrapText="1"/>
    </xf>
    <xf borderId="0" fillId="0" fontId="64" numFmtId="9" xfId="0" applyAlignment="1" applyFont="1" applyNumberFormat="1">
      <alignment horizontal="left" shrinkToFit="0" vertical="center" wrapText="0"/>
    </xf>
    <xf borderId="0" fillId="0" fontId="64" numFmtId="166" xfId="0" applyAlignment="1" applyFont="1" applyNumberFormat="1">
      <alignment horizontal="center" shrinkToFit="0" vertical="center" wrapText="0"/>
    </xf>
    <xf borderId="20" fillId="0" fontId="67" numFmtId="0" xfId="0" applyAlignment="1" applyBorder="1" applyFont="1">
      <alignment horizontal="left" shrinkToFit="0" vertical="center" wrapText="1"/>
    </xf>
    <xf borderId="0" fillId="0" fontId="67" numFmtId="0" xfId="0" applyAlignment="1" applyFont="1">
      <alignment horizontal="left" vertical="center"/>
    </xf>
    <xf borderId="0" fillId="3" fontId="71" numFmtId="0" xfId="0" applyAlignment="1" applyFont="1">
      <alignment vertical="center"/>
    </xf>
    <xf borderId="21" fillId="0" fontId="67" numFmtId="0" xfId="0" applyAlignment="1" applyBorder="1" applyFont="1">
      <alignment horizontal="center" readingOrder="0" shrinkToFit="0" vertical="center" wrapText="1"/>
    </xf>
    <xf borderId="13" fillId="0" fontId="67" numFmtId="0" xfId="0" applyAlignment="1" applyBorder="1" applyFont="1">
      <alignment horizontal="left" shrinkToFit="0" vertical="center" wrapText="1"/>
    </xf>
    <xf borderId="13" fillId="0" fontId="67" numFmtId="0" xfId="0" applyAlignment="1" applyBorder="1" applyFont="1">
      <alignment horizontal="center" readingOrder="0" shrinkToFit="0" vertical="center" wrapText="1"/>
    </xf>
    <xf borderId="13" fillId="0" fontId="67" numFmtId="3" xfId="0" applyAlignment="1" applyBorder="1" applyFont="1" applyNumberFormat="1">
      <alignment horizontal="center" shrinkToFit="0" vertical="center" wrapText="1"/>
    </xf>
    <xf borderId="0" fillId="2" fontId="3" numFmtId="0" xfId="0" applyAlignment="1" applyFont="1">
      <alignment horizontal="left" readingOrder="0" shrinkToFit="0" vertical="center" wrapText="1"/>
    </xf>
    <xf borderId="1" fillId="2" fontId="10" numFmtId="0" xfId="0" applyAlignment="1" applyBorder="1" applyFont="1">
      <alignment horizontal="left" readingOrder="0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2" fontId="75" numFmtId="0" xfId="0" applyAlignment="1" applyFont="1">
      <alignment readingOrder="0" shrinkToFit="0" vertical="center" wrapText="0"/>
    </xf>
    <xf borderId="4" fillId="4" fontId="18" numFmtId="0" xfId="0" applyAlignment="1" applyBorder="1" applyFont="1">
      <alignment horizontal="left" readingOrder="0" shrinkToFit="0" vertical="center" wrapText="1"/>
    </xf>
    <xf borderId="7" fillId="4" fontId="26" numFmtId="0" xfId="0" applyAlignment="1" applyBorder="1" applyFont="1">
      <alignment horizontal="left" readingOrder="0" shrinkToFit="0" vertical="center" wrapText="1"/>
    </xf>
    <xf borderId="0" fillId="2" fontId="31" numFmtId="0" xfId="0" applyAlignment="1" applyFont="1">
      <alignment horizontal="left" shrinkToFit="0" vertical="center" wrapText="1"/>
    </xf>
    <xf borderId="14" fillId="0" fontId="33" numFmtId="0" xfId="0" applyAlignment="1" applyBorder="1" applyFont="1">
      <alignment readingOrder="0" vertical="center"/>
    </xf>
    <xf borderId="14" fillId="0" fontId="76" numFmtId="0" xfId="0" applyAlignment="1" applyBorder="1" applyFont="1">
      <alignment readingOrder="0" vertical="bottom"/>
    </xf>
    <xf borderId="14" fillId="0" fontId="77" numFmtId="0" xfId="0" applyAlignment="1" applyBorder="1" applyFont="1">
      <alignment vertical="bottom"/>
    </xf>
    <xf borderId="14" fillId="0" fontId="41" numFmtId="0" xfId="0" applyAlignment="1" applyBorder="1" applyFont="1">
      <alignment horizontal="center" readingOrder="0" vertical="bottom"/>
    </xf>
    <xf borderId="14" fillId="2" fontId="42" numFmtId="0" xfId="0" applyAlignment="1" applyBorder="1" applyFont="1">
      <alignment horizontal="center" readingOrder="0" shrinkToFit="0" vertical="center" wrapText="0"/>
    </xf>
    <xf borderId="14" fillId="2" fontId="31" numFmtId="0" xfId="0" applyAlignment="1" applyBorder="1" applyFont="1">
      <alignment readingOrder="0" shrinkToFit="0" vertical="center" wrapText="0"/>
    </xf>
    <xf borderId="14" fillId="2" fontId="78" numFmtId="0" xfId="0" applyAlignment="1" applyBorder="1" applyFont="1">
      <alignment vertical="bottom"/>
    </xf>
    <xf borderId="14" fillId="0" fontId="40" numFmtId="0" xfId="0" applyAlignment="1" applyBorder="1" applyFont="1">
      <alignment vertical="bottom"/>
    </xf>
    <xf borderId="14" fillId="0" fontId="43" numFmtId="0" xfId="0" applyAlignment="1" applyBorder="1" applyFont="1">
      <alignment horizontal="center" readingOrder="0"/>
    </xf>
    <xf borderId="14" fillId="0" fontId="78" numFmtId="0" xfId="0" applyAlignment="1" applyBorder="1" applyFont="1">
      <alignment vertical="bottom"/>
    </xf>
    <xf borderId="14" fillId="2" fontId="78" numFmtId="0" xfId="0" applyAlignment="1" applyBorder="1" applyFont="1">
      <alignment readingOrder="0" vertical="bottom"/>
    </xf>
    <xf borderId="0" fillId="0" fontId="65" numFmtId="0" xfId="0" applyAlignment="1" applyFont="1">
      <alignment horizontal="center" readingOrder="0" shrinkToFit="0" vertical="center" wrapText="1"/>
    </xf>
    <xf borderId="0" fillId="0" fontId="65" numFmtId="0" xfId="0" applyAlignment="1" applyFont="1">
      <alignment horizontal="center" shrinkToFit="0" vertical="center" wrapText="1"/>
    </xf>
    <xf borderId="0" fillId="0" fontId="65" numFmtId="165" xfId="0" applyAlignment="1" applyFont="1" applyNumberFormat="1">
      <alignment horizontal="center" readingOrder="0" shrinkToFit="0" vertical="center" wrapText="1"/>
    </xf>
    <xf borderId="0" fillId="0" fontId="65" numFmtId="3" xfId="0" applyAlignment="1" applyFont="1" applyNumberFormat="1">
      <alignment horizontal="center" shrinkToFit="0" vertical="center" wrapText="1"/>
    </xf>
    <xf borderId="0" fillId="0" fontId="65" numFmtId="0" xfId="0" applyAlignment="1" applyFont="1">
      <alignment horizontal="center" readingOrder="0" vertical="center"/>
    </xf>
    <xf borderId="0" fillId="0" fontId="79" numFmtId="0" xfId="0" applyAlignment="1" applyFont="1">
      <alignment horizontal="left" readingOrder="0" shrinkToFit="0" vertical="center" wrapText="1"/>
    </xf>
    <xf borderId="0" fillId="0" fontId="68" numFmtId="0" xfId="0" applyAlignment="1" applyFont="1">
      <alignment horizontal="center" readingOrder="0" vertical="center"/>
    </xf>
    <xf borderId="0" fillId="0" fontId="68" numFmtId="9" xfId="0" applyAlignment="1" applyFont="1" applyNumberFormat="1">
      <alignment horizontal="center" readingOrder="0" shrinkToFit="0" vertical="center" wrapText="1"/>
    </xf>
    <xf borderId="0" fillId="0" fontId="70" numFmtId="1" xfId="0" applyAlignment="1" applyFont="1" applyNumberFormat="1">
      <alignment horizontal="center" readingOrder="0" shrinkToFit="0" vertical="center" wrapText="1"/>
    </xf>
    <xf borderId="0" fillId="0" fontId="70" numFmtId="0" xfId="0" applyAlignment="1" applyFont="1">
      <alignment horizontal="center" readingOrder="0" shrinkToFit="0" vertical="center" wrapText="1"/>
    </xf>
    <xf borderId="0" fillId="0" fontId="70" numFmtId="0" xfId="0" applyAlignment="1" applyFont="1">
      <alignment horizontal="center" shrinkToFit="0" vertical="center" wrapText="1"/>
    </xf>
    <xf borderId="0" fillId="0" fontId="71" numFmtId="0" xfId="0" applyAlignment="1" applyFont="1">
      <alignment horizontal="center" readingOrder="0" vertical="center"/>
    </xf>
    <xf borderId="0" fillId="0" fontId="80" numFmtId="0" xfId="0" applyAlignment="1" applyFont="1">
      <alignment horizontal="left" readingOrder="0" shrinkToFit="0" vertical="center" wrapText="1"/>
    </xf>
    <xf borderId="0" fillId="0" fontId="67" numFmtId="0" xfId="0" applyAlignment="1" applyFont="1">
      <alignment horizontal="center" readingOrder="0" vertical="center"/>
    </xf>
    <xf borderId="0" fillId="0" fontId="6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/>
    </xf>
    <xf borderId="0" fillId="0" fontId="64" numFmtId="9" xfId="0" applyAlignment="1" applyFont="1" applyNumberFormat="1">
      <alignment horizontal="left" shrinkToFit="0" vertical="center" wrapText="1"/>
    </xf>
    <xf borderId="0" fillId="0" fontId="67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000000"/>
                </a:solidFill>
                <a:latin typeface="Roboto"/>
              </a:defRPr>
            </a:pPr>
            <a:r>
              <a:rPr b="1" sz="3000">
                <a:solidFill>
                  <a:srgbClr val="000000"/>
                </a:solidFill>
                <a:latin typeface="Roboto"/>
              </a:rPr>
              <a:t>Action Chart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1C232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666666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Basket!$H$38:$H$40</c:f>
            </c:strRef>
          </c:cat>
          <c:val>
            <c:numRef>
              <c:f>Basket!$I$38:$I$40</c:f>
              <c:numCache/>
            </c:numRef>
          </c:val>
        </c:ser>
        <c:ser>
          <c:idx val="1"/>
          <c:order val="1"/>
          <c:cat>
            <c:strRef>
              <c:f>Basket!$H$38:$H$40</c:f>
            </c:strRef>
          </c:cat>
          <c:val>
            <c:numRef>
              <c:f>Basket!$I$38:$I$39</c:f>
              <c:numCache/>
            </c:numRef>
          </c:val>
        </c:ser>
        <c:axId val="173070311"/>
        <c:axId val="1023723077"/>
      </c:barChart>
      <c:catAx>
        <c:axId val="173070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23723077"/>
      </c:catAx>
      <c:valAx>
        <c:axId val="10237230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30703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Estimated Vs Actual Hours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Estimated Hours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Basket!$M$19</c:f>
              <c:numCache/>
            </c:numRef>
          </c:val>
        </c:ser>
        <c:ser>
          <c:idx val="1"/>
          <c:order val="1"/>
          <c:tx>
            <c:v>Actual Hours</c:v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Basket!$N$19</c:f>
              <c:numCache/>
            </c:numRef>
          </c:val>
        </c:ser>
        <c:axId val="1604486556"/>
        <c:axId val="1822605699"/>
      </c:barChart>
      <c:catAx>
        <c:axId val="16044865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22605699"/>
      </c:catAx>
      <c:valAx>
        <c:axId val="18226056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0448655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000000"/>
                </a:solidFill>
                <a:latin typeface="Roboto"/>
              </a:defRPr>
            </a:pPr>
            <a:r>
              <a:rPr b="1" sz="3000">
                <a:solidFill>
                  <a:srgbClr val="000000"/>
                </a:solidFill>
                <a:latin typeface="Roboto"/>
              </a:rPr>
              <a:t>Action Chart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1C232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666666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Geftar!$H$48:$H$50</c:f>
            </c:strRef>
          </c:cat>
          <c:val>
            <c:numRef>
              <c:f>Geftar!$I$48:$I$50</c:f>
              <c:numCache/>
            </c:numRef>
          </c:val>
        </c:ser>
        <c:ser>
          <c:idx val="1"/>
          <c:order val="1"/>
          <c:cat>
            <c:strRef>
              <c:f>Geftar!$H$48:$H$50</c:f>
            </c:strRef>
          </c:cat>
          <c:val>
            <c:numRef>
              <c:f>Geftar!$I$48:$I$49</c:f>
              <c:numCache/>
            </c:numRef>
          </c:val>
        </c:ser>
        <c:axId val="36293254"/>
        <c:axId val="544587915"/>
      </c:barChart>
      <c:catAx>
        <c:axId val="362932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44587915"/>
      </c:catAx>
      <c:valAx>
        <c:axId val="5445879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62932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Estimated Vs Actual Hours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Estimated Hours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Geftar!$M$20</c:f>
              <c:numCache/>
            </c:numRef>
          </c:val>
        </c:ser>
        <c:ser>
          <c:idx val="1"/>
          <c:order val="1"/>
          <c:tx>
            <c:v>Actual Hours</c:v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Geftar!$N$20</c:f>
              <c:numCache/>
            </c:numRef>
          </c:val>
        </c:ser>
        <c:axId val="1562603717"/>
        <c:axId val="757969925"/>
      </c:barChart>
      <c:catAx>
        <c:axId val="1562603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57969925"/>
      </c:catAx>
      <c:valAx>
        <c:axId val="7579699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6260371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1466850</xdr:colOff>
      <xdr:row>6</xdr:row>
      <xdr:rowOff>85725</xdr:rowOff>
    </xdr:from>
    <xdr:ext cx="4448175" cy="3990975"/>
    <xdr:pic>
      <xdr:nvPicPr>
        <xdr:cNvPr id="180935458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6</xdr:row>
      <xdr:rowOff>85725</xdr:rowOff>
    </xdr:from>
    <xdr:ext cx="5476875" cy="39433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161925</xdr:colOff>
      <xdr:row>29</xdr:row>
      <xdr:rowOff>0</xdr:rowOff>
    </xdr:from>
    <xdr:ext cx="530542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1466850</xdr:colOff>
      <xdr:row>6</xdr:row>
      <xdr:rowOff>85725</xdr:rowOff>
    </xdr:from>
    <xdr:ext cx="4448175" cy="3990975"/>
    <xdr:pic>
      <xdr:nvPicPr>
        <xdr:cNvPr id="915720824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6</xdr:row>
      <xdr:rowOff>85725</xdr:rowOff>
    </xdr:from>
    <xdr:ext cx="5476875" cy="39433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38100</xdr:colOff>
      <xdr:row>42</xdr:row>
      <xdr:rowOff>247650</xdr:rowOff>
    </xdr:from>
    <xdr:ext cx="5305425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0"/>
    <col customWidth="1" min="2" max="2" width="20.5"/>
    <col customWidth="1" min="3" max="3" width="20.25"/>
    <col customWidth="1" min="4" max="4" width="15.63"/>
    <col customWidth="1" min="5" max="5" width="16.5"/>
    <col customWidth="1" min="6" max="6" width="15.88"/>
    <col customWidth="1" min="7" max="7" width="30.5"/>
    <col customWidth="1" min="8" max="8" width="22.88"/>
    <col customWidth="1" min="9" max="9" width="33.25"/>
    <col customWidth="1" min="10" max="10" width="20.88"/>
    <col customWidth="1" min="11" max="12" width="13.25"/>
    <col customWidth="1" min="13" max="13" width="15.5"/>
    <col customWidth="1" min="14" max="14" width="14.75"/>
    <col customWidth="1" min="15" max="15" width="0.38"/>
    <col customWidth="1" min="16" max="16" width="2.88"/>
    <col customWidth="1" hidden="1" min="17" max="17" width="15.0"/>
    <col customWidth="1" min="18" max="18" width="2.88"/>
    <col customWidth="1" hidden="1" min="19" max="19" width="15.0"/>
    <col customWidth="1" min="20" max="20" width="2.88"/>
  </cols>
  <sheetData>
    <row r="1" ht="21.0" customHeight="1">
      <c r="A1" s="1"/>
      <c r="B1" s="2"/>
      <c r="C1" s="3"/>
      <c r="D1" s="4"/>
      <c r="E1" s="4"/>
      <c r="F1" s="5"/>
      <c r="G1" s="6"/>
      <c r="H1" s="3"/>
      <c r="I1" s="3"/>
      <c r="J1" s="7"/>
      <c r="K1" s="8"/>
      <c r="L1" s="9"/>
      <c r="M1" s="8"/>
      <c r="N1" s="10"/>
      <c r="O1" s="1"/>
      <c r="P1" s="11"/>
      <c r="Q1" s="11"/>
      <c r="R1" s="11"/>
      <c r="S1" s="11"/>
      <c r="T1" s="11"/>
    </row>
    <row r="2" ht="21.0" customHeight="1">
      <c r="A2" s="1"/>
      <c r="B2" s="12" t="s">
        <v>0</v>
      </c>
      <c r="C2" s="13"/>
      <c r="D2" s="13"/>
      <c r="E2" s="13"/>
      <c r="F2" s="13"/>
      <c r="G2" s="13"/>
      <c r="H2" s="14"/>
      <c r="I2" s="15"/>
      <c r="J2" s="16"/>
      <c r="K2" s="13"/>
      <c r="L2" s="13"/>
      <c r="M2" s="13"/>
      <c r="N2" s="13"/>
      <c r="P2" s="17"/>
      <c r="Q2" s="18" t="s">
        <v>1</v>
      </c>
      <c r="R2" s="18"/>
      <c r="S2" s="18" t="s">
        <v>2</v>
      </c>
      <c r="T2" s="17"/>
    </row>
    <row r="3" ht="21.0" customHeight="1">
      <c r="A3" s="1"/>
      <c r="B3" s="19"/>
      <c r="C3" s="19"/>
      <c r="D3" s="20"/>
      <c r="E3" s="20"/>
      <c r="F3" s="21"/>
      <c r="G3" s="22"/>
      <c r="H3" s="22"/>
      <c r="I3" s="23"/>
      <c r="J3" s="24"/>
      <c r="K3" s="24"/>
      <c r="L3" s="24"/>
      <c r="M3" s="25"/>
      <c r="N3" s="25"/>
      <c r="O3" s="25"/>
      <c r="P3" s="26"/>
      <c r="Q3" s="27" t="s">
        <v>3</v>
      </c>
      <c r="R3" s="28"/>
      <c r="S3" s="27" t="s">
        <v>4</v>
      </c>
      <c r="T3" s="26"/>
    </row>
    <row r="4" ht="37.5" customHeight="1">
      <c r="A4" s="1"/>
      <c r="B4" s="29" t="s">
        <v>5</v>
      </c>
      <c r="C4" s="30"/>
      <c r="D4" s="31" t="s">
        <v>6</v>
      </c>
      <c r="E4" s="31"/>
      <c r="F4" s="32" t="s">
        <v>7</v>
      </c>
      <c r="G4" s="33">
        <v>45471.0</v>
      </c>
      <c r="H4" s="34"/>
      <c r="I4" s="35" t="s">
        <v>8</v>
      </c>
      <c r="J4" s="36" t="s">
        <v>9</v>
      </c>
      <c r="K4" s="37" t="s">
        <v>10</v>
      </c>
      <c r="L4" s="38" t="s">
        <v>11</v>
      </c>
      <c r="M4" s="39"/>
      <c r="N4" s="40"/>
      <c r="O4" s="41"/>
      <c r="P4" s="26"/>
      <c r="Q4" s="27"/>
      <c r="R4" s="28"/>
      <c r="S4" s="27" t="s">
        <v>12</v>
      </c>
      <c r="T4" s="26"/>
    </row>
    <row r="5" ht="21.0" customHeight="1">
      <c r="A5" s="42"/>
      <c r="B5" s="43" t="s">
        <v>13</v>
      </c>
      <c r="D5" s="44" t="s">
        <v>14</v>
      </c>
      <c r="E5" s="44"/>
      <c r="F5" s="45" t="s">
        <v>15</v>
      </c>
      <c r="G5" s="46">
        <v>45792.0</v>
      </c>
      <c r="H5" s="47" t="s">
        <v>16</v>
      </c>
      <c r="I5" s="48" t="s">
        <v>17</v>
      </c>
      <c r="J5" s="49" t="s">
        <v>18</v>
      </c>
      <c r="K5" s="50"/>
      <c r="L5" s="50" t="s">
        <v>19</v>
      </c>
      <c r="M5" s="51" t="s">
        <v>20</v>
      </c>
      <c r="N5" s="52"/>
      <c r="O5" s="43"/>
      <c r="P5" s="53"/>
      <c r="Q5" s="54" t="s">
        <v>21</v>
      </c>
      <c r="R5" s="55"/>
      <c r="S5" s="54" t="s">
        <v>22</v>
      </c>
      <c r="T5" s="53"/>
    </row>
    <row r="6" ht="33.0" customHeight="1">
      <c r="A6" s="56" t="s">
        <v>23</v>
      </c>
      <c r="B6" s="57"/>
      <c r="C6" s="57"/>
      <c r="D6" s="57"/>
      <c r="E6" s="57"/>
      <c r="F6" s="57"/>
      <c r="G6" s="58"/>
      <c r="H6" s="59"/>
      <c r="I6" s="48" t="s">
        <v>24</v>
      </c>
      <c r="J6" s="60">
        <v>1.0</v>
      </c>
      <c r="K6" s="61"/>
      <c r="L6" s="62" t="s">
        <v>25</v>
      </c>
      <c r="M6" s="63" t="str">
        <f>IFS(N19=M19, "On Schdule" ,N19&gt;M19, "Behind " , N19&lt;M19, " Ahead " )</f>
        <v>Behind </v>
      </c>
      <c r="N6" s="64"/>
      <c r="O6" s="64"/>
      <c r="P6" s="26"/>
      <c r="Q6" s="27" t="s">
        <v>26</v>
      </c>
      <c r="R6" s="28"/>
      <c r="S6" s="27"/>
      <c r="T6" s="26"/>
    </row>
    <row r="7" ht="31.5" customHeight="1">
      <c r="A7" s="65" t="s">
        <v>27</v>
      </c>
      <c r="B7" s="66" t="s">
        <v>28</v>
      </c>
      <c r="C7" s="67" t="s">
        <v>29</v>
      </c>
      <c r="D7" s="68" t="s">
        <v>30</v>
      </c>
      <c r="E7" s="69" t="s">
        <v>31</v>
      </c>
      <c r="F7" s="69" t="s">
        <v>32</v>
      </c>
      <c r="G7" s="69" t="s">
        <v>33</v>
      </c>
      <c r="H7" s="59"/>
      <c r="I7" s="59"/>
      <c r="J7" s="70"/>
      <c r="K7" s="70"/>
      <c r="L7" s="70"/>
      <c r="M7" s="64"/>
      <c r="N7" s="64"/>
      <c r="O7" s="64"/>
      <c r="P7" s="26"/>
      <c r="Q7" s="27" t="s">
        <v>34</v>
      </c>
      <c r="R7" s="28"/>
      <c r="S7" s="27"/>
      <c r="T7" s="26"/>
    </row>
    <row r="8" ht="33.0" customHeight="1">
      <c r="A8" s="71"/>
      <c r="B8" s="72" t="s">
        <v>35</v>
      </c>
      <c r="C8" s="73" t="s">
        <v>36</v>
      </c>
      <c r="D8" s="74" t="s">
        <v>37</v>
      </c>
      <c r="E8" s="75" t="s">
        <v>37</v>
      </c>
      <c r="F8" s="75" t="s">
        <v>4</v>
      </c>
      <c r="G8" s="76" t="s">
        <v>38</v>
      </c>
      <c r="H8" s="59"/>
      <c r="I8" s="59"/>
      <c r="J8" s="70"/>
      <c r="K8" s="70"/>
      <c r="L8" s="70"/>
      <c r="M8" s="64"/>
      <c r="N8" s="64"/>
      <c r="O8" s="64"/>
      <c r="P8" s="26"/>
      <c r="Q8" s="27"/>
      <c r="R8" s="28"/>
      <c r="S8" s="27"/>
      <c r="T8" s="26"/>
    </row>
    <row r="9" ht="33.0" customHeight="1">
      <c r="A9" s="71"/>
      <c r="B9" s="72" t="s">
        <v>39</v>
      </c>
      <c r="C9" s="73" t="s">
        <v>40</v>
      </c>
      <c r="D9" s="77">
        <v>4.0</v>
      </c>
      <c r="E9" s="78">
        <v>0.0</v>
      </c>
      <c r="F9" s="75" t="s">
        <v>41</v>
      </c>
      <c r="G9" s="76"/>
      <c r="H9" s="59"/>
      <c r="I9" s="59"/>
      <c r="J9" s="70"/>
      <c r="K9" s="70"/>
      <c r="L9" s="70"/>
      <c r="M9" s="64"/>
      <c r="N9" s="64"/>
      <c r="O9" s="64"/>
      <c r="P9" s="26"/>
      <c r="Q9" s="27"/>
      <c r="R9" s="28"/>
      <c r="S9" s="27"/>
      <c r="T9" s="26"/>
    </row>
    <row r="10" ht="33.0" customHeight="1">
      <c r="A10" s="71"/>
      <c r="B10" s="79" t="s">
        <v>42</v>
      </c>
      <c r="C10" s="72" t="s">
        <v>43</v>
      </c>
      <c r="D10" s="80">
        <v>3.0</v>
      </c>
      <c r="E10" s="78">
        <v>0.0</v>
      </c>
      <c r="F10" s="75" t="s">
        <v>41</v>
      </c>
      <c r="G10" s="76"/>
      <c r="H10" s="59"/>
      <c r="I10" s="59"/>
      <c r="J10" s="70"/>
      <c r="K10" s="70"/>
      <c r="L10" s="70"/>
      <c r="M10" s="64"/>
      <c r="N10" s="64"/>
      <c r="O10" s="64"/>
      <c r="P10" s="26"/>
      <c r="Q10" s="27"/>
      <c r="R10" s="28"/>
      <c r="S10" s="27"/>
      <c r="T10" s="26"/>
    </row>
    <row r="11" ht="39.0" customHeight="1">
      <c r="A11" s="71"/>
      <c r="B11" s="79" t="s">
        <v>44</v>
      </c>
      <c r="C11" s="72" t="s">
        <v>45</v>
      </c>
      <c r="D11" s="77">
        <v>4.0</v>
      </c>
      <c r="E11" s="78">
        <v>0.0</v>
      </c>
      <c r="F11" s="75" t="s">
        <v>41</v>
      </c>
      <c r="G11" s="76"/>
      <c r="H11" s="59"/>
      <c r="I11" s="59"/>
      <c r="J11" s="70"/>
      <c r="K11" s="70"/>
      <c r="L11" s="70"/>
      <c r="M11" s="64"/>
      <c r="N11" s="64"/>
      <c r="O11" s="64"/>
      <c r="P11" s="26"/>
      <c r="Q11" s="27"/>
      <c r="R11" s="28"/>
      <c r="S11" s="27"/>
      <c r="T11" s="26"/>
    </row>
    <row r="12" ht="33.0" customHeight="1">
      <c r="A12" s="71"/>
      <c r="B12" s="81" t="s">
        <v>46</v>
      </c>
      <c r="C12" s="72" t="s">
        <v>45</v>
      </c>
      <c r="D12" s="77">
        <v>3.0</v>
      </c>
      <c r="E12" s="78">
        <v>0.0</v>
      </c>
      <c r="F12" s="75" t="s">
        <v>41</v>
      </c>
      <c r="G12" s="76"/>
      <c r="H12" s="59"/>
      <c r="I12" s="59"/>
      <c r="J12" s="70"/>
      <c r="K12" s="70"/>
      <c r="L12" s="70"/>
      <c r="M12" s="64"/>
      <c r="N12" s="64"/>
      <c r="O12" s="64"/>
      <c r="P12" s="26"/>
      <c r="Q12" s="27"/>
      <c r="R12" s="28"/>
      <c r="S12" s="27"/>
      <c r="T12" s="26"/>
    </row>
    <row r="13" ht="33.0" customHeight="1">
      <c r="A13" s="71"/>
      <c r="B13" s="79" t="s">
        <v>47</v>
      </c>
      <c r="C13" s="72" t="s">
        <v>48</v>
      </c>
      <c r="D13" s="77">
        <v>4.0</v>
      </c>
      <c r="E13" s="78">
        <v>0.0</v>
      </c>
      <c r="F13" s="75" t="s">
        <v>22</v>
      </c>
      <c r="G13" s="76"/>
      <c r="H13" s="59"/>
      <c r="I13" s="59"/>
      <c r="J13" s="70"/>
      <c r="K13" s="70"/>
      <c r="L13" s="70"/>
      <c r="M13" s="64"/>
      <c r="N13" s="64"/>
      <c r="O13" s="64"/>
      <c r="P13" s="26"/>
      <c r="Q13" s="28"/>
      <c r="R13" s="28"/>
      <c r="S13" s="28"/>
      <c r="T13" s="26"/>
    </row>
    <row r="14" ht="33.0" customHeight="1">
      <c r="A14" s="71"/>
      <c r="B14" s="79" t="s">
        <v>49</v>
      </c>
      <c r="C14" s="72" t="s">
        <v>48</v>
      </c>
      <c r="D14" s="77">
        <v>5.0</v>
      </c>
      <c r="E14" s="78">
        <v>0.0</v>
      </c>
      <c r="F14" s="75" t="s">
        <v>41</v>
      </c>
      <c r="G14" s="76"/>
      <c r="H14" s="59"/>
      <c r="I14" s="59"/>
      <c r="J14" s="70"/>
      <c r="K14" s="70"/>
      <c r="L14" s="70"/>
      <c r="M14" s="64"/>
      <c r="N14" s="64"/>
      <c r="O14" s="64"/>
      <c r="P14" s="26"/>
      <c r="Q14" s="28"/>
      <c r="R14" s="28"/>
      <c r="S14" s="28"/>
      <c r="T14" s="26"/>
    </row>
    <row r="15" ht="34.5" customHeight="1">
      <c r="A15" s="71"/>
      <c r="B15" s="79" t="s">
        <v>50</v>
      </c>
      <c r="C15" s="72" t="s">
        <v>48</v>
      </c>
      <c r="D15" s="77">
        <v>4.0</v>
      </c>
      <c r="E15" s="78">
        <v>0.0</v>
      </c>
      <c r="F15" s="75" t="s">
        <v>22</v>
      </c>
      <c r="G15" s="76"/>
      <c r="H15" s="59"/>
      <c r="I15" s="59"/>
      <c r="J15" s="70"/>
      <c r="K15" s="70"/>
      <c r="L15" s="70"/>
      <c r="M15" s="64"/>
      <c r="N15" s="64"/>
      <c r="O15" s="64"/>
      <c r="P15" s="82"/>
      <c r="Q15" s="82"/>
      <c r="R15" s="82"/>
      <c r="S15" s="82"/>
      <c r="T15" s="82"/>
    </row>
    <row r="16" ht="36.75" customHeight="1">
      <c r="A16" s="71"/>
      <c r="B16" s="83" t="s">
        <v>51</v>
      </c>
      <c r="C16" s="84" t="s">
        <v>52</v>
      </c>
      <c r="D16" s="77">
        <v>4.0</v>
      </c>
      <c r="E16" s="78">
        <v>0.0</v>
      </c>
      <c r="F16" s="75" t="s">
        <v>22</v>
      </c>
      <c r="G16" s="76"/>
      <c r="H16" s="59"/>
      <c r="I16" s="59"/>
      <c r="J16" s="70"/>
      <c r="K16" s="70"/>
      <c r="L16" s="70"/>
      <c r="M16" s="64"/>
      <c r="N16" s="64"/>
      <c r="O16" s="64"/>
      <c r="P16" s="82"/>
      <c r="Q16" s="82"/>
      <c r="R16" s="82"/>
      <c r="S16" s="82"/>
      <c r="T16" s="82"/>
    </row>
    <row r="17" ht="21.0" customHeight="1">
      <c r="A17" s="85"/>
      <c r="B17" s="86" t="s">
        <v>53</v>
      </c>
      <c r="K17" s="87" t="s">
        <v>54</v>
      </c>
      <c r="L17" s="88" t="s">
        <v>55</v>
      </c>
      <c r="O17" s="89"/>
      <c r="P17" s="90"/>
      <c r="Q17" s="90"/>
      <c r="R17" s="90"/>
      <c r="S17" s="90"/>
      <c r="T17" s="90"/>
    </row>
    <row r="18" ht="21.0" customHeight="1">
      <c r="A18" s="91"/>
      <c r="B18" s="92" t="s">
        <v>56</v>
      </c>
      <c r="C18" s="92" t="s">
        <v>57</v>
      </c>
      <c r="D18" s="92" t="s">
        <v>58</v>
      </c>
      <c r="E18" s="92" t="s">
        <v>59</v>
      </c>
      <c r="F18" s="92" t="s">
        <v>60</v>
      </c>
      <c r="G18" s="92" t="s">
        <v>61</v>
      </c>
      <c r="H18" s="92" t="s">
        <v>62</v>
      </c>
      <c r="I18" s="92" t="s">
        <v>63</v>
      </c>
      <c r="J18" s="93" t="s">
        <v>64</v>
      </c>
      <c r="K18" s="94" t="s">
        <v>65</v>
      </c>
      <c r="L18" s="95" t="s">
        <v>66</v>
      </c>
      <c r="M18" s="96" t="s">
        <v>67</v>
      </c>
      <c r="N18" s="96" t="s">
        <v>68</v>
      </c>
      <c r="O18" s="97"/>
      <c r="P18" s="90"/>
      <c r="Q18" s="90"/>
      <c r="R18" s="90"/>
      <c r="S18" s="90"/>
      <c r="T18" s="90"/>
    </row>
    <row r="19" ht="49.5" customHeight="1">
      <c r="A19" s="98"/>
      <c r="B19" s="99" t="s">
        <v>69</v>
      </c>
      <c r="C19" s="100"/>
      <c r="D19" s="100"/>
      <c r="E19" s="100"/>
      <c r="F19" s="100"/>
      <c r="G19" s="100"/>
      <c r="H19" s="100"/>
      <c r="I19" s="100"/>
      <c r="J19" s="101"/>
      <c r="K19" s="102">
        <f>AVERAGE(K20:K23)</f>
        <v>1</v>
      </c>
      <c r="L19" s="103">
        <f t="shared" ref="L19:N19" si="1">SUM(L20:L23)</f>
        <v>6</v>
      </c>
      <c r="M19" s="104">
        <f t="shared" si="1"/>
        <v>30</v>
      </c>
      <c r="N19" s="104">
        <f t="shared" si="1"/>
        <v>56</v>
      </c>
      <c r="O19" s="105"/>
      <c r="P19" s="90"/>
      <c r="Q19" s="90"/>
      <c r="R19" s="90"/>
      <c r="S19" s="90"/>
      <c r="T19" s="90"/>
    </row>
    <row r="20" ht="21.0" customHeight="1">
      <c r="A20" s="106"/>
      <c r="B20" s="107" t="s">
        <v>34</v>
      </c>
      <c r="C20" s="107" t="s">
        <v>22</v>
      </c>
      <c r="D20" s="108">
        <v>45739.0</v>
      </c>
      <c r="E20" s="108">
        <v>45770.0</v>
      </c>
      <c r="F20" s="109">
        <f t="shared" ref="F20:F23" si="2">DAYS360(D20,E20)</f>
        <v>30</v>
      </c>
      <c r="G20" s="110" t="s">
        <v>70</v>
      </c>
      <c r="H20" s="111" t="s">
        <v>44</v>
      </c>
      <c r="I20" s="112" t="s">
        <v>71</v>
      </c>
      <c r="J20" s="113" t="s">
        <v>72</v>
      </c>
      <c r="K20" s="114">
        <v>1.0</v>
      </c>
      <c r="L20" s="115">
        <v>1.0</v>
      </c>
      <c r="M20" s="116">
        <f t="shared" ref="M20:M23" si="3">L20*5</f>
        <v>5</v>
      </c>
      <c r="N20" s="116">
        <v>25.0</v>
      </c>
      <c r="O20" s="117"/>
      <c r="P20" s="90"/>
      <c r="Q20" s="90"/>
      <c r="R20" s="90"/>
      <c r="S20" s="90"/>
      <c r="T20" s="90"/>
    </row>
    <row r="21" ht="21.0" customHeight="1">
      <c r="A21" s="106"/>
      <c r="B21" s="107" t="s">
        <v>34</v>
      </c>
      <c r="C21" s="110" t="s">
        <v>22</v>
      </c>
      <c r="D21" s="108">
        <v>45740.0</v>
      </c>
      <c r="E21" s="108">
        <v>45770.0</v>
      </c>
      <c r="F21" s="109">
        <f t="shared" si="2"/>
        <v>29</v>
      </c>
      <c r="G21" s="110" t="s">
        <v>73</v>
      </c>
      <c r="H21" s="111" t="s">
        <v>44</v>
      </c>
      <c r="I21" s="112" t="s">
        <v>74</v>
      </c>
      <c r="J21" s="113" t="s">
        <v>72</v>
      </c>
      <c r="K21" s="114">
        <v>1.0</v>
      </c>
      <c r="L21" s="115">
        <v>2.0</v>
      </c>
      <c r="M21" s="116">
        <f t="shared" si="3"/>
        <v>10</v>
      </c>
      <c r="N21" s="116">
        <v>3.0</v>
      </c>
      <c r="O21" s="117"/>
      <c r="P21" s="90"/>
      <c r="Q21" s="90"/>
      <c r="R21" s="90"/>
      <c r="S21" s="90"/>
      <c r="T21" s="90"/>
    </row>
    <row r="22" ht="21.0" customHeight="1">
      <c r="A22" s="106"/>
      <c r="B22" s="107" t="s">
        <v>34</v>
      </c>
      <c r="C22" s="110" t="s">
        <v>22</v>
      </c>
      <c r="D22" s="108">
        <v>45741.0</v>
      </c>
      <c r="E22" s="108">
        <v>45770.0</v>
      </c>
      <c r="F22" s="109">
        <f t="shared" si="2"/>
        <v>28</v>
      </c>
      <c r="G22" s="110" t="s">
        <v>75</v>
      </c>
      <c r="H22" s="111" t="s">
        <v>50</v>
      </c>
      <c r="I22" s="112" t="s">
        <v>76</v>
      </c>
      <c r="J22" s="113" t="s">
        <v>77</v>
      </c>
      <c r="K22" s="114">
        <v>1.0</v>
      </c>
      <c r="L22" s="115">
        <v>1.0</v>
      </c>
      <c r="M22" s="116">
        <f t="shared" si="3"/>
        <v>5</v>
      </c>
      <c r="N22" s="116">
        <v>18.0</v>
      </c>
      <c r="O22" s="117"/>
      <c r="P22" s="118"/>
      <c r="Q22" s="90"/>
      <c r="R22" s="118"/>
      <c r="S22" s="118"/>
      <c r="T22" s="118"/>
    </row>
    <row r="23" ht="21.0" customHeight="1">
      <c r="A23" s="106"/>
      <c r="B23" s="107" t="s">
        <v>34</v>
      </c>
      <c r="C23" s="110" t="s">
        <v>22</v>
      </c>
      <c r="D23" s="108">
        <v>45742.0</v>
      </c>
      <c r="E23" s="108">
        <v>45770.0</v>
      </c>
      <c r="F23" s="109">
        <f t="shared" si="2"/>
        <v>27</v>
      </c>
      <c r="G23" s="110" t="s">
        <v>70</v>
      </c>
      <c r="H23" s="111" t="s">
        <v>47</v>
      </c>
      <c r="I23" s="112" t="s">
        <v>78</v>
      </c>
      <c r="J23" s="113" t="s">
        <v>77</v>
      </c>
      <c r="K23" s="114">
        <v>1.0</v>
      </c>
      <c r="L23" s="115">
        <v>2.0</v>
      </c>
      <c r="M23" s="116">
        <f t="shared" si="3"/>
        <v>10</v>
      </c>
      <c r="N23" s="116">
        <v>10.0</v>
      </c>
      <c r="O23" s="117"/>
      <c r="P23" s="118"/>
      <c r="Q23" s="90"/>
      <c r="R23" s="118"/>
      <c r="S23" s="118"/>
      <c r="T23" s="118"/>
    </row>
    <row r="24" ht="21.0" customHeight="1">
      <c r="A24" s="106"/>
      <c r="B24" s="107" t="s">
        <v>3</v>
      </c>
      <c r="C24" s="110" t="s">
        <v>4</v>
      </c>
      <c r="D24" s="108">
        <v>45739.0</v>
      </c>
      <c r="E24" s="119"/>
      <c r="F24" s="120"/>
      <c r="G24" s="110" t="s">
        <v>79</v>
      </c>
      <c r="H24" s="111" t="s">
        <v>44</v>
      </c>
      <c r="I24" s="112" t="s">
        <v>80</v>
      </c>
      <c r="J24" s="113" t="s">
        <v>72</v>
      </c>
      <c r="K24" s="121">
        <v>0.75</v>
      </c>
      <c r="L24" s="122">
        <v>3.0</v>
      </c>
      <c r="M24" s="123"/>
      <c r="N24" s="123"/>
      <c r="O24" s="117"/>
      <c r="P24" s="118"/>
      <c r="Q24" s="90"/>
      <c r="R24" s="118"/>
      <c r="S24" s="118"/>
      <c r="T24" s="118"/>
    </row>
    <row r="25" ht="21.0" customHeight="1">
      <c r="A25" s="106"/>
      <c r="B25" s="124" t="s">
        <v>34</v>
      </c>
      <c r="C25" s="124" t="s">
        <v>12</v>
      </c>
      <c r="D25" s="108">
        <v>45770.0</v>
      </c>
      <c r="E25" s="108">
        <v>45770.0</v>
      </c>
      <c r="F25" s="120"/>
      <c r="G25" s="110" t="s">
        <v>81</v>
      </c>
      <c r="H25" s="111" t="s">
        <v>47</v>
      </c>
      <c r="I25" s="112" t="s">
        <v>82</v>
      </c>
      <c r="J25" s="113" t="s">
        <v>77</v>
      </c>
      <c r="K25" s="114">
        <v>1.0</v>
      </c>
      <c r="L25" s="122">
        <v>1.0</v>
      </c>
      <c r="M25" s="123"/>
      <c r="N25" s="123"/>
      <c r="O25" s="117"/>
      <c r="P25" s="125"/>
      <c r="Q25" s="125"/>
      <c r="R25" s="125"/>
      <c r="S25" s="125"/>
      <c r="T25" s="125"/>
    </row>
    <row r="26" ht="21.0" customHeight="1">
      <c r="A26" s="106"/>
      <c r="B26" s="124" t="s">
        <v>34</v>
      </c>
      <c r="C26" s="124" t="s">
        <v>22</v>
      </c>
      <c r="D26" s="119"/>
      <c r="E26" s="119"/>
      <c r="F26" s="120"/>
      <c r="G26" s="126" t="s">
        <v>83</v>
      </c>
      <c r="H26" s="126" t="s">
        <v>51</v>
      </c>
      <c r="I26" s="127" t="s">
        <v>84</v>
      </c>
      <c r="J26" s="124" t="s">
        <v>85</v>
      </c>
      <c r="K26" s="114">
        <v>1.0</v>
      </c>
      <c r="L26" s="122">
        <v>3.0</v>
      </c>
      <c r="M26" s="123"/>
      <c r="N26" s="123"/>
      <c r="O26" s="117"/>
      <c r="P26" s="125"/>
      <c r="Q26" s="125"/>
      <c r="R26" s="125"/>
      <c r="S26" s="125"/>
      <c r="T26" s="125"/>
    </row>
    <row r="27" ht="21.0" customHeight="1">
      <c r="A27" s="106"/>
      <c r="B27" s="128"/>
      <c r="C27" s="128"/>
      <c r="D27" s="119"/>
      <c r="E27" s="119"/>
      <c r="F27" s="120"/>
      <c r="G27" s="123"/>
      <c r="H27" s="123"/>
      <c r="I27" s="123"/>
      <c r="J27" s="123"/>
      <c r="K27" s="129"/>
      <c r="L27" s="130"/>
      <c r="M27" s="123"/>
      <c r="N27" s="123"/>
      <c r="O27" s="117"/>
      <c r="P27" s="125"/>
      <c r="Q27" s="125"/>
      <c r="R27" s="125"/>
      <c r="S27" s="125"/>
      <c r="T27" s="125"/>
    </row>
    <row r="28" ht="21.0" customHeight="1">
      <c r="A28" s="131"/>
      <c r="B28" s="132"/>
      <c r="C28" s="132"/>
      <c r="D28" s="133"/>
      <c r="E28" s="133"/>
      <c r="F28" s="133"/>
      <c r="G28" s="133"/>
      <c r="H28" s="133"/>
      <c r="I28" s="132"/>
      <c r="J28" s="134"/>
      <c r="K28" s="135"/>
      <c r="L28" s="136"/>
      <c r="M28" s="137"/>
      <c r="N28" s="137"/>
      <c r="O28" s="138"/>
      <c r="P28" s="139"/>
      <c r="Q28" s="139"/>
      <c r="R28" s="139"/>
      <c r="S28" s="139"/>
      <c r="T28" s="139"/>
    </row>
    <row r="29" ht="21.0" customHeight="1">
      <c r="A29" s="131"/>
      <c r="B29" s="140"/>
      <c r="C29" s="141"/>
      <c r="D29" s="142"/>
      <c r="E29" s="142"/>
      <c r="F29" s="143"/>
      <c r="G29" s="144"/>
      <c r="H29" s="145"/>
      <c r="I29" s="146"/>
      <c r="J29" s="147"/>
      <c r="K29" s="148"/>
      <c r="L29" s="149"/>
      <c r="M29" s="150"/>
      <c r="N29" s="150"/>
      <c r="O29" s="138"/>
      <c r="P29" s="139"/>
      <c r="Q29" s="139"/>
      <c r="R29" s="139"/>
      <c r="S29" s="139"/>
      <c r="T29" s="139"/>
    </row>
    <row r="30" ht="21.0" customHeight="1">
      <c r="A30" s="131"/>
      <c r="B30" s="151"/>
      <c r="C30" s="152"/>
      <c r="D30" s="153"/>
      <c r="E30" s="153"/>
      <c r="F30" s="154"/>
      <c r="G30" s="155"/>
      <c r="H30" s="156"/>
      <c r="I30" s="157"/>
      <c r="J30" s="158"/>
      <c r="K30" s="159"/>
      <c r="L30" s="160"/>
      <c r="M30" s="131"/>
      <c r="N30" s="131"/>
      <c r="O30" s="138"/>
      <c r="P30" s="139"/>
      <c r="Q30" s="139"/>
      <c r="R30" s="139"/>
      <c r="S30" s="139"/>
      <c r="T30" s="139"/>
    </row>
    <row r="31" ht="21.0" customHeight="1">
      <c r="A31" s="131"/>
      <c r="B31" s="151"/>
      <c r="C31" s="152"/>
      <c r="D31" s="153"/>
      <c r="E31" s="153"/>
      <c r="F31" s="154"/>
      <c r="G31" s="155"/>
      <c r="H31" s="156"/>
      <c r="I31" s="157"/>
      <c r="J31" s="158"/>
      <c r="K31" s="159"/>
      <c r="L31" s="160"/>
      <c r="M31" s="131"/>
      <c r="N31" s="131"/>
      <c r="O31" s="138"/>
      <c r="P31" s="139"/>
      <c r="Q31" s="139"/>
      <c r="R31" s="139"/>
      <c r="S31" s="139"/>
      <c r="T31" s="139"/>
    </row>
    <row r="32" ht="21.0" customHeight="1">
      <c r="A32" s="131"/>
      <c r="B32" s="151"/>
      <c r="C32" s="152"/>
      <c r="D32" s="153"/>
      <c r="E32" s="153"/>
      <c r="F32" s="154"/>
      <c r="G32" s="161"/>
      <c r="H32" s="161"/>
      <c r="I32" s="157"/>
      <c r="J32" s="158"/>
      <c r="K32" s="159"/>
      <c r="L32" s="160"/>
      <c r="M32" s="131"/>
      <c r="N32" s="131"/>
      <c r="O32" s="138"/>
      <c r="P32" s="139"/>
      <c r="Q32" s="139"/>
      <c r="R32" s="139"/>
      <c r="S32" s="139"/>
      <c r="T32" s="139"/>
    </row>
    <row r="33" ht="21.0" customHeight="1">
      <c r="A33" s="131"/>
      <c r="B33" s="162"/>
      <c r="C33" s="162"/>
      <c r="D33" s="159"/>
      <c r="E33" s="159"/>
      <c r="F33" s="159"/>
      <c r="G33" s="159"/>
      <c r="H33" s="159"/>
      <c r="I33" s="162"/>
      <c r="J33" s="158"/>
      <c r="K33" s="163"/>
      <c r="L33" s="160"/>
      <c r="M33" s="131"/>
      <c r="N33" s="131"/>
      <c r="O33" s="138"/>
      <c r="P33" s="139"/>
      <c r="Q33" s="139"/>
      <c r="R33" s="139"/>
      <c r="S33" s="139"/>
      <c r="T33" s="139"/>
    </row>
    <row r="34" ht="21.0" customHeight="1">
      <c r="A34" s="131"/>
      <c r="B34" s="151"/>
      <c r="C34" s="152"/>
      <c r="D34" s="153"/>
      <c r="E34" s="153"/>
      <c r="F34" s="154"/>
      <c r="G34" s="155"/>
      <c r="H34" s="156"/>
      <c r="I34" s="157"/>
      <c r="J34" s="158"/>
      <c r="K34" s="159"/>
      <c r="L34" s="160"/>
      <c r="M34" s="131"/>
      <c r="N34" s="131"/>
      <c r="O34" s="138"/>
      <c r="P34" s="139"/>
      <c r="Q34" s="139"/>
      <c r="R34" s="139"/>
      <c r="S34" s="139"/>
      <c r="T34" s="139"/>
    </row>
    <row r="35" ht="21.0" customHeight="1">
      <c r="A35" s="131"/>
      <c r="B35" s="151"/>
      <c r="C35" s="152"/>
      <c r="D35" s="153"/>
      <c r="E35" s="153"/>
      <c r="F35" s="154"/>
      <c r="G35" s="155"/>
      <c r="H35" s="156"/>
      <c r="I35" s="157"/>
      <c r="J35" s="158"/>
      <c r="K35" s="159"/>
      <c r="L35" s="160"/>
      <c r="M35" s="131"/>
      <c r="N35" s="131"/>
      <c r="O35" s="138"/>
      <c r="P35" s="139"/>
      <c r="Q35" s="139"/>
      <c r="R35" s="139"/>
      <c r="S35" s="139"/>
      <c r="T35" s="139"/>
    </row>
    <row r="36" ht="21.0" customHeight="1">
      <c r="A36" s="131"/>
      <c r="B36" s="151"/>
      <c r="C36" s="152"/>
      <c r="D36" s="153"/>
      <c r="E36" s="153"/>
      <c r="F36" s="154"/>
      <c r="G36" s="155"/>
      <c r="H36" s="156"/>
      <c r="I36" s="157"/>
      <c r="J36" s="158"/>
      <c r="K36" s="159"/>
      <c r="L36" s="160"/>
      <c r="M36" s="131"/>
      <c r="N36" s="131"/>
      <c r="O36" s="138"/>
      <c r="P36" s="139"/>
      <c r="Q36" s="139"/>
      <c r="R36" s="139"/>
      <c r="S36" s="139"/>
      <c r="T36" s="139"/>
    </row>
    <row r="37" ht="21.0" customHeight="1">
      <c r="A37" s="131"/>
      <c r="B37" s="151"/>
      <c r="C37" s="152"/>
      <c r="D37" s="153"/>
      <c r="E37" s="153"/>
      <c r="F37" s="154"/>
      <c r="G37" s="155"/>
      <c r="H37" s="156"/>
      <c r="I37" s="157"/>
      <c r="J37" s="158"/>
      <c r="K37" s="159"/>
      <c r="L37" s="160"/>
      <c r="M37" s="131"/>
      <c r="N37" s="131"/>
      <c r="O37" s="138"/>
      <c r="P37" s="139"/>
      <c r="Q37" s="139"/>
      <c r="R37" s="139"/>
      <c r="S37" s="139"/>
      <c r="T37" s="139"/>
    </row>
    <row r="38" ht="21.0" customHeight="1">
      <c r="A38" s="131"/>
      <c r="B38" s="164" t="s">
        <v>86</v>
      </c>
      <c r="C38" s="165"/>
      <c r="D38" s="166" t="s">
        <v>87</v>
      </c>
      <c r="E38" s="167"/>
      <c r="F38" s="168" t="s">
        <v>88</v>
      </c>
      <c r="G38" s="165"/>
      <c r="H38" s="169" t="s">
        <v>89</v>
      </c>
      <c r="I38" s="170">
        <v>5.0</v>
      </c>
      <c r="J38" s="158"/>
      <c r="K38" s="163"/>
      <c r="L38" s="160"/>
      <c r="M38" s="131"/>
      <c r="N38" s="131"/>
      <c r="O38" s="138"/>
      <c r="P38" s="139"/>
      <c r="Q38" s="139"/>
      <c r="R38" s="139"/>
      <c r="S38" s="139"/>
      <c r="T38" s="139"/>
    </row>
    <row r="39" ht="21.0" customHeight="1">
      <c r="A39" s="131"/>
      <c r="B39" s="171" t="s">
        <v>90</v>
      </c>
      <c r="C39" s="172" t="s">
        <v>91</v>
      </c>
      <c r="D39" s="173" t="s">
        <v>90</v>
      </c>
      <c r="E39" s="174" t="s">
        <v>87</v>
      </c>
      <c r="F39" s="173" t="s">
        <v>90</v>
      </c>
      <c r="G39" s="175" t="s">
        <v>88</v>
      </c>
      <c r="H39" s="176" t="s">
        <v>87</v>
      </c>
      <c r="I39" s="177">
        <v>2.0</v>
      </c>
      <c r="J39" s="158"/>
      <c r="K39" s="159"/>
      <c r="L39" s="160"/>
      <c r="M39" s="131"/>
      <c r="N39" s="131"/>
      <c r="O39" s="138"/>
      <c r="P39" s="139"/>
      <c r="Q39" s="139"/>
      <c r="R39" s="139"/>
      <c r="S39" s="139"/>
      <c r="T39" s="139"/>
    </row>
    <row r="40" ht="21.0" customHeight="1">
      <c r="A40" s="131"/>
      <c r="B40" s="171" t="s">
        <v>92</v>
      </c>
      <c r="C40" s="172" t="s">
        <v>93</v>
      </c>
      <c r="D40" s="173" t="s">
        <v>92</v>
      </c>
      <c r="E40" s="173" t="s">
        <v>87</v>
      </c>
      <c r="F40" s="173" t="s">
        <v>92</v>
      </c>
      <c r="G40" s="175" t="s">
        <v>88</v>
      </c>
      <c r="H40" s="178" t="s">
        <v>88</v>
      </c>
      <c r="I40" s="177">
        <v>2.0</v>
      </c>
      <c r="J40" s="158"/>
      <c r="K40" s="159"/>
      <c r="L40" s="160"/>
      <c r="M40" s="131"/>
      <c r="N40" s="131"/>
      <c r="O40" s="138"/>
      <c r="P40" s="139"/>
      <c r="Q40" s="139"/>
      <c r="R40" s="139"/>
      <c r="S40" s="139"/>
      <c r="T40" s="139"/>
    </row>
    <row r="41" ht="21.0" customHeight="1">
      <c r="A41" s="131"/>
      <c r="B41" s="171" t="s">
        <v>94</v>
      </c>
      <c r="C41" s="172" t="s">
        <v>93</v>
      </c>
      <c r="D41" s="173" t="s">
        <v>94</v>
      </c>
      <c r="E41" s="173"/>
      <c r="F41" s="173" t="s">
        <v>94</v>
      </c>
      <c r="G41" s="175"/>
      <c r="H41" s="156"/>
      <c r="I41" s="157"/>
      <c r="J41" s="158"/>
      <c r="K41" s="159"/>
      <c r="L41" s="160"/>
      <c r="M41" s="131"/>
      <c r="N41" s="131"/>
      <c r="O41" s="138"/>
      <c r="P41" s="139"/>
      <c r="Q41" s="139"/>
      <c r="R41" s="139"/>
      <c r="S41" s="139"/>
      <c r="T41" s="139"/>
    </row>
    <row r="42" ht="21.0" customHeight="1">
      <c r="A42" s="131"/>
      <c r="B42" s="171" t="s">
        <v>95</v>
      </c>
      <c r="C42" s="172" t="s">
        <v>93</v>
      </c>
      <c r="D42" s="173" t="s">
        <v>95</v>
      </c>
      <c r="E42" s="173"/>
      <c r="F42" s="173" t="s">
        <v>95</v>
      </c>
      <c r="G42" s="179"/>
      <c r="H42" s="156"/>
      <c r="I42" s="157"/>
      <c r="J42" s="158"/>
      <c r="K42" s="159"/>
      <c r="L42" s="160"/>
      <c r="M42" s="131"/>
      <c r="N42" s="131"/>
      <c r="O42" s="138"/>
      <c r="P42" s="139"/>
      <c r="Q42" s="139"/>
      <c r="R42" s="139"/>
      <c r="S42" s="139"/>
      <c r="T42" s="139"/>
    </row>
    <row r="43" ht="21.0" customHeight="1">
      <c r="A43" s="131"/>
      <c r="B43" s="171" t="s">
        <v>96</v>
      </c>
      <c r="C43" s="172" t="s">
        <v>93</v>
      </c>
      <c r="D43" s="173" t="s">
        <v>96</v>
      </c>
      <c r="E43" s="173"/>
      <c r="F43" s="173" t="s">
        <v>96</v>
      </c>
      <c r="G43" s="179"/>
      <c r="H43" s="180"/>
      <c r="I43" s="181"/>
      <c r="J43" s="182"/>
      <c r="K43" s="138"/>
      <c r="L43" s="138"/>
      <c r="M43" s="138"/>
      <c r="N43" s="138"/>
      <c r="O43" s="138"/>
      <c r="P43" s="139"/>
      <c r="Q43" s="139"/>
      <c r="R43" s="139"/>
      <c r="S43" s="139"/>
      <c r="T43" s="139"/>
    </row>
    <row r="44" ht="21.0" customHeight="1">
      <c r="A44" s="131"/>
      <c r="B44" s="171" t="s">
        <v>97</v>
      </c>
      <c r="C44" s="183"/>
      <c r="D44" s="173" t="s">
        <v>97</v>
      </c>
      <c r="E44" s="173"/>
      <c r="F44" s="173" t="s">
        <v>97</v>
      </c>
      <c r="G44" s="179"/>
      <c r="H44" s="161"/>
      <c r="I44" s="184"/>
      <c r="J44" s="131"/>
      <c r="K44" s="131"/>
      <c r="L44" s="131"/>
      <c r="M44" s="131"/>
      <c r="N44" s="131"/>
      <c r="O44" s="131"/>
      <c r="P44" s="185"/>
      <c r="Q44" s="185"/>
      <c r="R44" s="185"/>
      <c r="S44" s="185"/>
      <c r="T44" s="185"/>
    </row>
    <row r="45" ht="21.0" customHeight="1">
      <c r="A45" s="131"/>
      <c r="B45" s="186" t="s">
        <v>98</v>
      </c>
      <c r="C45" s="187"/>
      <c r="D45" s="173" t="s">
        <v>98</v>
      </c>
      <c r="E45" s="188"/>
      <c r="F45" s="173" t="s">
        <v>98</v>
      </c>
      <c r="G45" s="189"/>
      <c r="H45" s="161"/>
      <c r="I45" s="184"/>
      <c r="J45" s="131"/>
      <c r="K45" s="131"/>
      <c r="L45" s="131"/>
      <c r="M45" s="131"/>
      <c r="N45" s="131"/>
      <c r="O45" s="131"/>
      <c r="P45" s="185"/>
      <c r="Q45" s="185"/>
      <c r="R45" s="185"/>
      <c r="S45" s="185"/>
      <c r="T45" s="185"/>
    </row>
    <row r="46" ht="21.0" customHeight="1">
      <c r="A46" s="131"/>
      <c r="B46" s="184"/>
      <c r="C46" s="184"/>
      <c r="D46" s="161"/>
      <c r="E46" s="161"/>
      <c r="F46" s="161"/>
      <c r="G46" s="161"/>
      <c r="H46" s="161"/>
      <c r="I46" s="184"/>
      <c r="J46" s="131"/>
      <c r="K46" s="131"/>
      <c r="L46" s="131"/>
      <c r="M46" s="131"/>
      <c r="N46" s="131"/>
      <c r="O46" s="131"/>
      <c r="P46" s="185"/>
      <c r="Q46" s="185"/>
      <c r="R46" s="185"/>
      <c r="S46" s="185"/>
      <c r="T46" s="185"/>
    </row>
  </sheetData>
  <mergeCells count="11">
    <mergeCell ref="B5:C5"/>
    <mergeCell ref="B38:C38"/>
    <mergeCell ref="D38:E38"/>
    <mergeCell ref="F38:G38"/>
    <mergeCell ref="B2:G2"/>
    <mergeCell ref="J2:N2"/>
    <mergeCell ref="B4:C4"/>
    <mergeCell ref="A6:G6"/>
    <mergeCell ref="B17:J17"/>
    <mergeCell ref="L17:N17"/>
    <mergeCell ref="B19:I19"/>
  </mergeCells>
  <conditionalFormatting sqref="H29:H32 H34:H37 H39:H43">
    <cfRule type="colorScale" priority="1">
      <colorScale>
        <cfvo type="min"/>
        <cfvo type="max"/>
        <color rgb="FFFFFFFF"/>
        <color rgb="FF57BB8A"/>
      </colorScale>
    </cfRule>
  </conditionalFormatting>
  <conditionalFormatting sqref="H29:H32 H34:H37 H39:H43">
    <cfRule type="colorScale" priority="2">
      <colorScale>
        <cfvo type="min"/>
        <cfvo type="max"/>
        <color rgb="FF57BB8A"/>
        <color rgb="FFFFFFFF"/>
      </colorScale>
    </cfRule>
  </conditionalFormatting>
  <dataValidations>
    <dataValidation type="list" allowBlank="1" sqref="C20">
      <formula1>Basket!$S$3:$S$12</formula1>
    </dataValidation>
    <dataValidation type="list" allowBlank="1" showErrorMessage="1" sqref="L20:L26">
      <formula1>"8,5,3,2,1"</formula1>
    </dataValidation>
    <dataValidation type="list" allowBlank="1" showErrorMessage="1" sqref="F8:F16">
      <formula1>"High,Normal,Low"</formula1>
    </dataValidation>
    <dataValidation type="list" allowBlank="1" showErrorMessage="1" sqref="H20:H27">
      <formula1>Basket!$B$8:$B$16</formula1>
    </dataValidation>
    <dataValidation type="list" allowBlank="1" sqref="C21:C27">
      <formula1>Basket!$S$3:$S$12</formula1>
    </dataValidation>
    <dataValidation type="list" allowBlank="1" showErrorMessage="1" sqref="K20:K26">
      <formula1>"100%,75%,50%,25%"</formula1>
    </dataValidation>
    <dataValidation type="list" allowBlank="1" showErrorMessage="1" sqref="D9:E16">
      <formula1>"0,1,2,3,4,5"</formula1>
    </dataValidation>
    <dataValidation type="list" allowBlank="1" sqref="B20:B27">
      <formula1>Basket!$Q$3:$Q$12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38"/>
    <col customWidth="1" min="2" max="2" width="19.0"/>
    <col customWidth="1" min="3" max="3" width="20.25"/>
    <col customWidth="1" min="4" max="4" width="15.63"/>
    <col customWidth="1" min="5" max="5" width="16.5"/>
    <col customWidth="1" min="6" max="6" width="15.88"/>
    <col customWidth="1" min="7" max="7" width="30.5"/>
    <col customWidth="1" min="8" max="8" width="22.88"/>
    <col customWidth="1" min="9" max="9" width="33.25"/>
    <col customWidth="1" min="10" max="10" width="20.88"/>
    <col customWidth="1" min="11" max="12" width="13.25"/>
    <col customWidth="1" min="13" max="13" width="15.5"/>
    <col customWidth="1" min="14" max="14" width="14.75"/>
    <col customWidth="1" min="15" max="15" width="0.38"/>
    <col customWidth="1" min="16" max="16" width="2.88"/>
    <col customWidth="1" hidden="1" min="17" max="17" width="15.0"/>
    <col customWidth="1" min="18" max="18" width="2.88"/>
    <col customWidth="1" hidden="1" min="19" max="19" width="15.0"/>
    <col customWidth="1" min="20" max="20" width="2.88"/>
  </cols>
  <sheetData>
    <row r="1" ht="21.0" customHeight="1">
      <c r="A1" s="1"/>
      <c r="B1" s="2"/>
      <c r="C1" s="3"/>
      <c r="D1" s="4"/>
      <c r="E1" s="4"/>
      <c r="F1" s="5"/>
      <c r="G1" s="6"/>
      <c r="H1" s="3"/>
      <c r="I1" s="190"/>
      <c r="J1" s="7"/>
      <c r="K1" s="8"/>
      <c r="L1" s="9"/>
      <c r="M1" s="8"/>
      <c r="N1" s="10"/>
      <c r="O1" s="1"/>
      <c r="P1" s="11"/>
      <c r="Q1" s="11"/>
      <c r="R1" s="11"/>
      <c r="S1" s="11"/>
      <c r="T1" s="11"/>
    </row>
    <row r="2" ht="21.0" customHeight="1">
      <c r="A2" s="1"/>
      <c r="B2" s="12" t="s">
        <v>99</v>
      </c>
      <c r="C2" s="13"/>
      <c r="D2" s="13"/>
      <c r="E2" s="13"/>
      <c r="F2" s="13"/>
      <c r="G2" s="13"/>
      <c r="H2" s="14"/>
      <c r="I2" s="191"/>
      <c r="J2" s="16"/>
      <c r="K2" s="13"/>
      <c r="L2" s="13"/>
      <c r="M2" s="13"/>
      <c r="N2" s="13"/>
      <c r="P2" s="17"/>
      <c r="Q2" s="18" t="s">
        <v>1</v>
      </c>
      <c r="R2" s="18"/>
      <c r="S2" s="18" t="s">
        <v>2</v>
      </c>
      <c r="T2" s="17"/>
    </row>
    <row r="3" ht="21.0" customHeight="1">
      <c r="A3" s="1"/>
      <c r="B3" s="19"/>
      <c r="C3" s="19"/>
      <c r="D3" s="20"/>
      <c r="E3" s="20"/>
      <c r="F3" s="21"/>
      <c r="G3" s="22"/>
      <c r="H3" s="22"/>
      <c r="I3" s="192"/>
      <c r="J3" s="24"/>
      <c r="K3" s="24"/>
      <c r="L3" s="24"/>
      <c r="M3" s="25"/>
      <c r="N3" s="25"/>
      <c r="O3" s="25"/>
      <c r="P3" s="26"/>
      <c r="Q3" s="27" t="s">
        <v>3</v>
      </c>
      <c r="R3" s="28"/>
      <c r="S3" s="27" t="s">
        <v>4</v>
      </c>
      <c r="T3" s="26"/>
    </row>
    <row r="4" ht="37.5" customHeight="1">
      <c r="A4" s="1"/>
      <c r="B4" s="29" t="s">
        <v>5</v>
      </c>
      <c r="C4" s="30"/>
      <c r="D4" s="193" t="s">
        <v>100</v>
      </c>
      <c r="E4" s="31"/>
      <c r="F4" s="32" t="s">
        <v>7</v>
      </c>
      <c r="G4" s="33">
        <v>45428.0</v>
      </c>
      <c r="H4" s="34"/>
      <c r="I4" s="194" t="s">
        <v>8</v>
      </c>
      <c r="J4" s="36" t="s">
        <v>9</v>
      </c>
      <c r="K4" s="37" t="s">
        <v>10</v>
      </c>
      <c r="L4" s="38" t="s">
        <v>11</v>
      </c>
      <c r="M4" s="39"/>
      <c r="N4" s="40"/>
      <c r="O4" s="41"/>
      <c r="P4" s="26"/>
      <c r="Q4" s="27"/>
      <c r="R4" s="28"/>
      <c r="S4" s="27" t="s">
        <v>12</v>
      </c>
      <c r="T4" s="26"/>
    </row>
    <row r="5" ht="21.0" customHeight="1">
      <c r="A5" s="42"/>
      <c r="B5" s="43" t="s">
        <v>13</v>
      </c>
      <c r="D5" s="44" t="s">
        <v>14</v>
      </c>
      <c r="E5" s="44"/>
      <c r="F5" s="45" t="s">
        <v>15</v>
      </c>
      <c r="G5" s="46">
        <v>45792.0</v>
      </c>
      <c r="H5" s="47" t="s">
        <v>69</v>
      </c>
      <c r="I5" s="195" t="s">
        <v>17</v>
      </c>
      <c r="J5" s="49" t="s">
        <v>101</v>
      </c>
      <c r="K5" s="50"/>
      <c r="L5" s="50" t="s">
        <v>19</v>
      </c>
      <c r="M5" s="51">
        <v>14.0</v>
      </c>
      <c r="N5" s="52"/>
      <c r="O5" s="43"/>
      <c r="P5" s="53"/>
      <c r="Q5" s="54" t="s">
        <v>21</v>
      </c>
      <c r="R5" s="55"/>
      <c r="S5" s="54" t="s">
        <v>22</v>
      </c>
      <c r="T5" s="53"/>
    </row>
    <row r="6" ht="33.0" customHeight="1">
      <c r="A6" s="56" t="s">
        <v>23</v>
      </c>
      <c r="B6" s="57"/>
      <c r="C6" s="57"/>
      <c r="D6" s="57"/>
      <c r="E6" s="57"/>
      <c r="F6" s="57"/>
      <c r="G6" s="58"/>
      <c r="H6" s="59"/>
      <c r="I6" s="195" t="s">
        <v>24</v>
      </c>
      <c r="J6" s="60" t="s">
        <v>102</v>
      </c>
      <c r="K6" s="61"/>
      <c r="L6" s="62" t="s">
        <v>25</v>
      </c>
      <c r="M6" s="63" t="str">
        <f>IFS(N20=M20, "On Schdule" ,N20&gt;M20, "Behind " , N20&lt;M20, " Ahead " )</f>
        <v> Ahead </v>
      </c>
      <c r="N6" s="64"/>
      <c r="O6" s="64"/>
      <c r="P6" s="26"/>
      <c r="Q6" s="27" t="s">
        <v>26</v>
      </c>
      <c r="R6" s="28"/>
      <c r="S6" s="27"/>
      <c r="T6" s="26"/>
    </row>
    <row r="7" ht="31.5" customHeight="1">
      <c r="A7" s="65" t="s">
        <v>27</v>
      </c>
      <c r="B7" s="66" t="s">
        <v>28</v>
      </c>
      <c r="C7" s="67" t="s">
        <v>29</v>
      </c>
      <c r="D7" s="68" t="s">
        <v>103</v>
      </c>
      <c r="E7" s="69" t="s">
        <v>104</v>
      </c>
      <c r="F7" s="69" t="s">
        <v>105</v>
      </c>
      <c r="G7" s="69" t="s">
        <v>33</v>
      </c>
      <c r="H7" s="59"/>
      <c r="I7" s="196"/>
      <c r="J7" s="70"/>
      <c r="K7" s="70"/>
      <c r="L7" s="70"/>
      <c r="M7" s="64"/>
      <c r="N7" s="64"/>
      <c r="O7" s="64"/>
      <c r="P7" s="26"/>
      <c r="Q7" s="27" t="s">
        <v>34</v>
      </c>
      <c r="R7" s="28"/>
      <c r="S7" s="27"/>
      <c r="T7" s="26"/>
    </row>
    <row r="8" ht="33.0" customHeight="1">
      <c r="A8" s="197" t="s">
        <v>106</v>
      </c>
      <c r="B8" s="198" t="s">
        <v>107</v>
      </c>
      <c r="C8" s="199" t="s">
        <v>36</v>
      </c>
      <c r="D8" s="200">
        <v>4.0</v>
      </c>
      <c r="E8" s="201">
        <v>4.0</v>
      </c>
      <c r="F8" s="202" t="s">
        <v>4</v>
      </c>
      <c r="G8" s="76"/>
      <c r="H8" s="59"/>
      <c r="I8" s="196"/>
      <c r="J8" s="70"/>
      <c r="K8" s="70"/>
      <c r="L8" s="70"/>
      <c r="M8" s="64"/>
      <c r="N8" s="64"/>
      <c r="O8" s="64"/>
      <c r="P8" s="26"/>
      <c r="Q8" s="27"/>
      <c r="R8" s="28"/>
      <c r="S8" s="27"/>
      <c r="T8" s="26"/>
    </row>
    <row r="9" ht="33.0" customHeight="1">
      <c r="A9" s="197" t="s">
        <v>108</v>
      </c>
      <c r="B9" s="203" t="s">
        <v>109</v>
      </c>
      <c r="C9" s="204" t="s">
        <v>110</v>
      </c>
      <c r="D9" s="200">
        <v>4.0</v>
      </c>
      <c r="E9" s="78">
        <v>0.0</v>
      </c>
      <c r="F9" s="202" t="s">
        <v>22</v>
      </c>
      <c r="G9" s="76"/>
      <c r="H9" s="59"/>
      <c r="I9" s="196"/>
      <c r="J9" s="70"/>
      <c r="K9" s="70"/>
      <c r="L9" s="70"/>
      <c r="M9" s="64"/>
      <c r="N9" s="64"/>
      <c r="O9" s="64"/>
      <c r="P9" s="26"/>
      <c r="Q9" s="27"/>
      <c r="R9" s="28"/>
      <c r="S9" s="27"/>
      <c r="T9" s="26"/>
    </row>
    <row r="10" ht="33.0" customHeight="1">
      <c r="A10" s="197" t="s">
        <v>106</v>
      </c>
      <c r="B10" s="203" t="s">
        <v>111</v>
      </c>
      <c r="C10" s="204" t="s">
        <v>43</v>
      </c>
      <c r="D10" s="205">
        <v>4.0</v>
      </c>
      <c r="E10" s="78">
        <v>0.0</v>
      </c>
      <c r="F10" s="202" t="s">
        <v>41</v>
      </c>
      <c r="G10" s="76"/>
      <c r="H10" s="59"/>
      <c r="I10" s="196"/>
      <c r="J10" s="70"/>
      <c r="K10" s="70"/>
      <c r="L10" s="70"/>
      <c r="M10" s="64"/>
      <c r="N10" s="64"/>
      <c r="O10" s="64"/>
      <c r="P10" s="26"/>
      <c r="Q10" s="27"/>
      <c r="R10" s="28"/>
      <c r="S10" s="27"/>
      <c r="T10" s="26"/>
    </row>
    <row r="11" ht="39.0" customHeight="1">
      <c r="A11" s="197" t="s">
        <v>106</v>
      </c>
      <c r="B11" s="203" t="s">
        <v>112</v>
      </c>
      <c r="C11" s="204" t="s">
        <v>113</v>
      </c>
      <c r="D11" s="200">
        <v>4.0</v>
      </c>
      <c r="E11" s="78">
        <v>0.0</v>
      </c>
      <c r="F11" s="202" t="s">
        <v>41</v>
      </c>
      <c r="G11" s="76"/>
      <c r="H11" s="59"/>
      <c r="I11" s="196"/>
      <c r="J11" s="70"/>
      <c r="K11" s="70"/>
      <c r="L11" s="70"/>
      <c r="M11" s="64"/>
      <c r="N11" s="64"/>
      <c r="O11" s="64"/>
      <c r="P11" s="26"/>
      <c r="Q11" s="27"/>
      <c r="R11" s="28"/>
      <c r="S11" s="27"/>
      <c r="T11" s="26"/>
    </row>
    <row r="12" ht="33.0" customHeight="1">
      <c r="A12" s="197" t="s">
        <v>106</v>
      </c>
      <c r="B12" s="203" t="s">
        <v>114</v>
      </c>
      <c r="C12" s="204" t="s">
        <v>113</v>
      </c>
      <c r="D12" s="200">
        <v>3.0</v>
      </c>
      <c r="E12" s="78">
        <v>0.0</v>
      </c>
      <c r="F12" s="202" t="s">
        <v>41</v>
      </c>
      <c r="G12" s="76"/>
      <c r="H12" s="59"/>
      <c r="I12" s="196"/>
      <c r="J12" s="70"/>
      <c r="K12" s="70"/>
      <c r="L12" s="70"/>
      <c r="M12" s="64"/>
      <c r="N12" s="64"/>
      <c r="O12" s="64"/>
      <c r="P12" s="26"/>
      <c r="Q12" s="27"/>
      <c r="R12" s="28"/>
      <c r="S12" s="27"/>
      <c r="T12" s="26"/>
    </row>
    <row r="13" ht="33.0" customHeight="1">
      <c r="A13" s="197" t="s">
        <v>106</v>
      </c>
      <c r="B13" s="203" t="s">
        <v>115</v>
      </c>
      <c r="C13" s="204" t="s">
        <v>116</v>
      </c>
      <c r="D13" s="200">
        <v>4.0</v>
      </c>
      <c r="E13" s="78">
        <v>0.0</v>
      </c>
      <c r="F13" s="202" t="s">
        <v>22</v>
      </c>
      <c r="G13" s="76"/>
      <c r="H13" s="59"/>
      <c r="I13" s="196"/>
      <c r="J13" s="70"/>
      <c r="K13" s="70"/>
      <c r="L13" s="70"/>
      <c r="M13" s="64"/>
      <c r="N13" s="64"/>
      <c r="O13" s="64"/>
      <c r="P13" s="26"/>
      <c r="Q13" s="28"/>
      <c r="R13" s="28"/>
      <c r="S13" s="28"/>
      <c r="T13" s="26"/>
    </row>
    <row r="14" ht="33.0" customHeight="1">
      <c r="A14" s="197" t="s">
        <v>106</v>
      </c>
      <c r="B14" s="206" t="s">
        <v>117</v>
      </c>
      <c r="C14" s="204" t="s">
        <v>116</v>
      </c>
      <c r="D14" s="200">
        <v>5.0</v>
      </c>
      <c r="E14" s="78">
        <v>0.0</v>
      </c>
      <c r="F14" s="202" t="s">
        <v>41</v>
      </c>
      <c r="G14" s="76"/>
      <c r="H14" s="59"/>
      <c r="I14" s="196"/>
      <c r="J14" s="70"/>
      <c r="K14" s="70"/>
      <c r="L14" s="70"/>
      <c r="M14" s="64"/>
      <c r="N14" s="64"/>
      <c r="O14" s="64"/>
      <c r="P14" s="26"/>
      <c r="Q14" s="28"/>
      <c r="R14" s="28"/>
      <c r="S14" s="28"/>
      <c r="T14" s="26"/>
    </row>
    <row r="15" ht="34.5" customHeight="1">
      <c r="A15" s="197" t="s">
        <v>106</v>
      </c>
      <c r="B15" s="206" t="s">
        <v>118</v>
      </c>
      <c r="C15" s="204" t="s">
        <v>116</v>
      </c>
      <c r="D15" s="200">
        <v>4.0</v>
      </c>
      <c r="E15" s="78">
        <v>0.0</v>
      </c>
      <c r="F15" s="202" t="s">
        <v>22</v>
      </c>
      <c r="G15" s="76"/>
      <c r="H15" s="59"/>
      <c r="I15" s="196"/>
      <c r="J15" s="70"/>
      <c r="K15" s="70"/>
      <c r="L15" s="70"/>
      <c r="M15" s="64"/>
      <c r="N15" s="64"/>
      <c r="O15" s="64"/>
      <c r="P15" s="82"/>
      <c r="Q15" s="82"/>
      <c r="R15" s="82"/>
      <c r="S15" s="82"/>
      <c r="T15" s="82"/>
    </row>
    <row r="16" ht="36.75" customHeight="1">
      <c r="A16" s="197" t="s">
        <v>119</v>
      </c>
      <c r="B16" s="207" t="s">
        <v>51</v>
      </c>
      <c r="C16" s="204" t="s">
        <v>52</v>
      </c>
      <c r="D16" s="200">
        <v>4.0</v>
      </c>
      <c r="E16" s="78">
        <v>0.0</v>
      </c>
      <c r="F16" s="202" t="s">
        <v>22</v>
      </c>
      <c r="G16" s="76"/>
      <c r="H16" s="59"/>
      <c r="I16" s="196"/>
      <c r="J16" s="70"/>
      <c r="K16" s="70"/>
      <c r="L16" s="70"/>
      <c r="M16" s="64"/>
      <c r="N16" s="64"/>
      <c r="O16" s="64"/>
      <c r="P16" s="82"/>
      <c r="Q16" s="82"/>
      <c r="R16" s="82"/>
      <c r="S16" s="82"/>
      <c r="T16" s="82"/>
    </row>
    <row r="17" ht="36.75" customHeight="1">
      <c r="A17" s="197" t="s">
        <v>106</v>
      </c>
      <c r="B17" s="207" t="s">
        <v>120</v>
      </c>
      <c r="C17" s="204" t="s">
        <v>52</v>
      </c>
      <c r="D17" s="200"/>
      <c r="E17" s="78"/>
      <c r="F17" s="202" t="s">
        <v>41</v>
      </c>
      <c r="G17" s="76"/>
      <c r="H17" s="59"/>
      <c r="I17" s="196"/>
      <c r="J17" s="70"/>
      <c r="K17" s="70"/>
      <c r="L17" s="70"/>
      <c r="M17" s="64"/>
      <c r="N17" s="64"/>
      <c r="O17" s="64"/>
      <c r="P17" s="82"/>
      <c r="Q17" s="82"/>
      <c r="R17" s="82"/>
      <c r="S17" s="82"/>
      <c r="T17" s="82"/>
    </row>
    <row r="18" ht="21.0" customHeight="1">
      <c r="A18" s="85"/>
      <c r="B18" s="86" t="s">
        <v>53</v>
      </c>
      <c r="K18" s="87" t="s">
        <v>54</v>
      </c>
      <c r="L18" s="88" t="s">
        <v>55</v>
      </c>
      <c r="O18" s="89"/>
      <c r="P18" s="90"/>
      <c r="Q18" s="90"/>
      <c r="R18" s="90"/>
      <c r="S18" s="90"/>
      <c r="T18" s="90"/>
    </row>
    <row r="19" ht="21.0" customHeight="1">
      <c r="A19" s="91"/>
      <c r="B19" s="92" t="s">
        <v>56</v>
      </c>
      <c r="C19" s="92" t="s">
        <v>57</v>
      </c>
      <c r="D19" s="92" t="s">
        <v>58</v>
      </c>
      <c r="E19" s="92" t="s">
        <v>59</v>
      </c>
      <c r="F19" s="92" t="s">
        <v>60</v>
      </c>
      <c r="G19" s="92" t="s">
        <v>61</v>
      </c>
      <c r="H19" s="92" t="s">
        <v>62</v>
      </c>
      <c r="I19" s="92" t="s">
        <v>63</v>
      </c>
      <c r="J19" s="93" t="s">
        <v>64</v>
      </c>
      <c r="K19" s="94" t="s">
        <v>65</v>
      </c>
      <c r="L19" s="95" t="s">
        <v>66</v>
      </c>
      <c r="M19" s="96" t="s">
        <v>67</v>
      </c>
      <c r="N19" s="96" t="s">
        <v>68</v>
      </c>
      <c r="O19" s="97"/>
      <c r="P19" s="90"/>
      <c r="Q19" s="90"/>
      <c r="R19" s="90"/>
      <c r="S19" s="90"/>
      <c r="T19" s="90"/>
    </row>
    <row r="20" ht="49.5" customHeight="1">
      <c r="A20" s="98"/>
      <c r="B20" s="99" t="s">
        <v>69</v>
      </c>
      <c r="C20" s="100"/>
      <c r="D20" s="100"/>
      <c r="E20" s="100"/>
      <c r="F20" s="100"/>
      <c r="G20" s="100"/>
      <c r="H20" s="100"/>
      <c r="I20" s="100"/>
      <c r="J20" s="101"/>
      <c r="K20" s="102">
        <f>AVERAGE(K21:K24)</f>
        <v>0.75</v>
      </c>
      <c r="L20" s="103">
        <f t="shared" ref="L20:M20" si="1">SUM(L21:L43)</f>
        <v>87</v>
      </c>
      <c r="M20" s="104">
        <f t="shared" si="1"/>
        <v>169</v>
      </c>
      <c r="N20" s="104">
        <f>SUM(N21:N24)</f>
        <v>0</v>
      </c>
      <c r="O20" s="105"/>
      <c r="P20" s="90"/>
      <c r="Q20" s="90"/>
      <c r="R20" s="90"/>
      <c r="S20" s="90"/>
      <c r="T20" s="90"/>
    </row>
    <row r="21" ht="21.0" customHeight="1">
      <c r="A21" s="131"/>
      <c r="B21" s="208" t="s">
        <v>34</v>
      </c>
      <c r="C21" s="209" t="s">
        <v>22</v>
      </c>
      <c r="D21" s="210">
        <v>45844.0</v>
      </c>
      <c r="E21" s="210">
        <v>45855.0</v>
      </c>
      <c r="F21" s="211">
        <f t="shared" ref="F21:F43" si="2">DAYS360(D21,E21)</f>
        <v>11</v>
      </c>
      <c r="G21" s="208" t="s">
        <v>121</v>
      </c>
      <c r="H21" s="212" t="s">
        <v>109</v>
      </c>
      <c r="I21" s="213" t="s">
        <v>122</v>
      </c>
      <c r="J21" s="214" t="s">
        <v>72</v>
      </c>
      <c r="K21" s="215">
        <v>0.75</v>
      </c>
      <c r="L21" s="216">
        <f t="shared" ref="L21:L43" si="3">IFS(
  AND(M21&gt;=1, M21&lt;=2), 1,
  AND(M21&gt;=3, M21&lt;=4), 2,
  AND(M21&gt;=5, M21&lt;=7), 3,
  AND(M21&gt;=8, M21&lt;=12), 5,
  AND(M21&gt;=13, M21&lt;=18), 8,
  AND(M21&gt;=19, M21&lt;=28), 13
)
</f>
        <v>1</v>
      </c>
      <c r="M21" s="217">
        <v>2.0</v>
      </c>
      <c r="N21" s="218"/>
      <c r="O21" s="117"/>
      <c r="P21" s="90"/>
      <c r="Q21" s="90"/>
      <c r="R21" s="90"/>
      <c r="S21" s="90"/>
      <c r="T21" s="90"/>
    </row>
    <row r="22" ht="21.0" customHeight="1">
      <c r="A22" s="131"/>
      <c r="B22" s="208" t="s">
        <v>21</v>
      </c>
      <c r="C22" s="209" t="s">
        <v>4</v>
      </c>
      <c r="D22" s="210">
        <v>45844.0</v>
      </c>
      <c r="E22" s="210">
        <v>45855.0</v>
      </c>
      <c r="F22" s="211">
        <f t="shared" si="2"/>
        <v>11</v>
      </c>
      <c r="G22" s="208" t="s">
        <v>123</v>
      </c>
      <c r="H22" s="212" t="s">
        <v>112</v>
      </c>
      <c r="I22" s="213" t="s">
        <v>124</v>
      </c>
      <c r="J22" s="214" t="s">
        <v>72</v>
      </c>
      <c r="K22" s="215"/>
      <c r="L22" s="216">
        <f t="shared" si="3"/>
        <v>2</v>
      </c>
      <c r="M22" s="217">
        <v>4.0</v>
      </c>
      <c r="N22" s="218"/>
      <c r="O22" s="117"/>
      <c r="P22" s="90"/>
      <c r="Q22" s="90"/>
      <c r="R22" s="90"/>
      <c r="S22" s="90"/>
      <c r="T22" s="90"/>
    </row>
    <row r="23" ht="21.0" customHeight="1">
      <c r="A23" s="131"/>
      <c r="B23" s="208" t="s">
        <v>21</v>
      </c>
      <c r="C23" s="209" t="s">
        <v>12</v>
      </c>
      <c r="D23" s="210">
        <v>45844.0</v>
      </c>
      <c r="E23" s="210">
        <v>45855.0</v>
      </c>
      <c r="F23" s="211">
        <f t="shared" si="2"/>
        <v>11</v>
      </c>
      <c r="G23" s="208" t="s">
        <v>125</v>
      </c>
      <c r="H23" s="212" t="s">
        <v>114</v>
      </c>
      <c r="I23" s="213" t="s">
        <v>126</v>
      </c>
      <c r="J23" s="214" t="s">
        <v>72</v>
      </c>
      <c r="K23" s="215"/>
      <c r="L23" s="216">
        <f t="shared" si="3"/>
        <v>3</v>
      </c>
      <c r="M23" s="217">
        <v>5.0</v>
      </c>
      <c r="N23" s="218"/>
      <c r="O23" s="117"/>
      <c r="P23" s="118"/>
      <c r="Q23" s="90"/>
      <c r="R23" s="118"/>
      <c r="S23" s="118"/>
      <c r="T23" s="118"/>
    </row>
    <row r="24" ht="21.0" customHeight="1">
      <c r="A24" s="131"/>
      <c r="B24" s="208" t="s">
        <v>21</v>
      </c>
      <c r="C24" s="209" t="s">
        <v>12</v>
      </c>
      <c r="D24" s="210">
        <v>45844.0</v>
      </c>
      <c r="E24" s="210">
        <v>45855.0</v>
      </c>
      <c r="F24" s="211">
        <f t="shared" si="2"/>
        <v>11</v>
      </c>
      <c r="G24" s="208" t="s">
        <v>127</v>
      </c>
      <c r="H24" s="212" t="s">
        <v>114</v>
      </c>
      <c r="I24" s="213" t="s">
        <v>128</v>
      </c>
      <c r="J24" s="214" t="s">
        <v>72</v>
      </c>
      <c r="K24" s="215"/>
      <c r="L24" s="216">
        <f t="shared" si="3"/>
        <v>1</v>
      </c>
      <c r="M24" s="217">
        <v>1.0</v>
      </c>
      <c r="N24" s="218"/>
      <c r="O24" s="117"/>
      <c r="P24" s="118"/>
      <c r="Q24" s="90"/>
      <c r="R24" s="118"/>
      <c r="S24" s="118"/>
      <c r="T24" s="118"/>
    </row>
    <row r="25" ht="21.0" customHeight="1">
      <c r="A25" s="131"/>
      <c r="B25" s="208" t="s">
        <v>21</v>
      </c>
      <c r="C25" s="208" t="s">
        <v>4</v>
      </c>
      <c r="D25" s="210">
        <v>45844.0</v>
      </c>
      <c r="E25" s="210">
        <v>45855.0</v>
      </c>
      <c r="F25" s="211">
        <f t="shared" si="2"/>
        <v>11</v>
      </c>
      <c r="G25" s="208" t="s">
        <v>125</v>
      </c>
      <c r="H25" s="212" t="s">
        <v>112</v>
      </c>
      <c r="I25" s="213" t="s">
        <v>129</v>
      </c>
      <c r="J25" s="214" t="s">
        <v>72</v>
      </c>
      <c r="K25" s="215"/>
      <c r="L25" s="216">
        <f t="shared" si="3"/>
        <v>1</v>
      </c>
      <c r="M25" s="217">
        <v>2.0</v>
      </c>
      <c r="N25" s="217"/>
      <c r="O25" s="117"/>
      <c r="P25" s="118"/>
      <c r="Q25" s="90"/>
      <c r="R25" s="118"/>
      <c r="S25" s="118"/>
      <c r="T25" s="118"/>
    </row>
    <row r="26" ht="21.0" customHeight="1">
      <c r="A26" s="131"/>
      <c r="B26" s="208" t="s">
        <v>21</v>
      </c>
      <c r="C26" s="208" t="s">
        <v>12</v>
      </c>
      <c r="D26" s="210">
        <v>45844.0</v>
      </c>
      <c r="E26" s="210">
        <v>45855.0</v>
      </c>
      <c r="F26" s="211">
        <f t="shared" si="2"/>
        <v>11</v>
      </c>
      <c r="G26" s="208" t="s">
        <v>130</v>
      </c>
      <c r="H26" s="212" t="s">
        <v>109</v>
      </c>
      <c r="I26" s="213" t="s">
        <v>131</v>
      </c>
      <c r="J26" s="214" t="s">
        <v>132</v>
      </c>
      <c r="K26" s="215"/>
      <c r="L26" s="216">
        <f t="shared" si="3"/>
        <v>1</v>
      </c>
      <c r="M26" s="217">
        <v>2.0</v>
      </c>
      <c r="N26" s="217"/>
      <c r="O26" s="117"/>
      <c r="P26" s="125"/>
      <c r="Q26" s="125"/>
      <c r="R26" s="125"/>
      <c r="S26" s="125"/>
      <c r="T26" s="125"/>
    </row>
    <row r="27" ht="21.0" customHeight="1">
      <c r="A27" s="131"/>
      <c r="B27" s="208" t="s">
        <v>21</v>
      </c>
      <c r="C27" s="208" t="s">
        <v>12</v>
      </c>
      <c r="D27" s="210">
        <v>45844.0</v>
      </c>
      <c r="E27" s="210">
        <v>45855.0</v>
      </c>
      <c r="F27" s="211">
        <f t="shared" si="2"/>
        <v>11</v>
      </c>
      <c r="G27" s="208" t="s">
        <v>133</v>
      </c>
      <c r="H27" s="212" t="s">
        <v>114</v>
      </c>
      <c r="I27" s="213" t="s">
        <v>134</v>
      </c>
      <c r="J27" s="214" t="s">
        <v>72</v>
      </c>
      <c r="K27" s="215"/>
      <c r="L27" s="216">
        <f t="shared" si="3"/>
        <v>2</v>
      </c>
      <c r="M27" s="217">
        <v>3.0</v>
      </c>
      <c r="N27" s="217"/>
      <c r="O27" s="117"/>
      <c r="P27" s="125"/>
      <c r="Q27" s="125"/>
      <c r="R27" s="125"/>
      <c r="S27" s="125"/>
      <c r="T27" s="125"/>
    </row>
    <row r="28" ht="21.0" customHeight="1">
      <c r="A28" s="131"/>
      <c r="B28" s="208" t="s">
        <v>21</v>
      </c>
      <c r="C28" s="208" t="s">
        <v>12</v>
      </c>
      <c r="D28" s="210">
        <v>45844.0</v>
      </c>
      <c r="E28" s="210">
        <v>45855.0</v>
      </c>
      <c r="F28" s="211">
        <f t="shared" si="2"/>
        <v>11</v>
      </c>
      <c r="G28" s="208" t="s">
        <v>125</v>
      </c>
      <c r="H28" s="212" t="s">
        <v>51</v>
      </c>
      <c r="I28" s="213" t="s">
        <v>135</v>
      </c>
      <c r="J28" s="214" t="s">
        <v>85</v>
      </c>
      <c r="K28" s="215"/>
      <c r="L28" s="216">
        <f t="shared" si="3"/>
        <v>1</v>
      </c>
      <c r="M28" s="217">
        <v>1.0</v>
      </c>
      <c r="N28" s="217"/>
      <c r="O28" s="117"/>
      <c r="P28" s="125"/>
      <c r="Q28" s="125"/>
      <c r="R28" s="125"/>
      <c r="S28" s="125"/>
      <c r="T28" s="125"/>
    </row>
    <row r="29" ht="21.0" customHeight="1">
      <c r="A29" s="131"/>
      <c r="B29" s="208" t="s">
        <v>21</v>
      </c>
      <c r="C29" s="208" t="s">
        <v>22</v>
      </c>
      <c r="D29" s="210">
        <v>45844.0</v>
      </c>
      <c r="E29" s="210">
        <v>45855.0</v>
      </c>
      <c r="F29" s="211">
        <f t="shared" si="2"/>
        <v>11</v>
      </c>
      <c r="G29" s="208" t="s">
        <v>136</v>
      </c>
      <c r="H29" s="212" t="s">
        <v>109</v>
      </c>
      <c r="I29" s="213" t="s">
        <v>137</v>
      </c>
      <c r="J29" s="214" t="s">
        <v>72</v>
      </c>
      <c r="K29" s="215"/>
      <c r="L29" s="216">
        <f t="shared" si="3"/>
        <v>8</v>
      </c>
      <c r="M29" s="217">
        <v>18.0</v>
      </c>
      <c r="N29" s="137"/>
      <c r="O29" s="138"/>
      <c r="P29" s="139"/>
      <c r="Q29" s="139"/>
      <c r="R29" s="139"/>
      <c r="S29" s="139"/>
      <c r="T29" s="139"/>
    </row>
    <row r="30" ht="21.0" customHeight="1">
      <c r="A30" s="131"/>
      <c r="B30" s="208" t="s">
        <v>21</v>
      </c>
      <c r="C30" s="208" t="s">
        <v>12</v>
      </c>
      <c r="D30" s="210">
        <v>45844.0</v>
      </c>
      <c r="E30" s="210">
        <v>45855.0</v>
      </c>
      <c r="F30" s="211">
        <f t="shared" si="2"/>
        <v>11</v>
      </c>
      <c r="G30" s="208" t="s">
        <v>138</v>
      </c>
      <c r="H30" s="212" t="s">
        <v>109</v>
      </c>
      <c r="I30" s="213" t="s">
        <v>139</v>
      </c>
      <c r="J30" s="214" t="s">
        <v>72</v>
      </c>
      <c r="K30" s="215"/>
      <c r="L30" s="216">
        <f t="shared" si="3"/>
        <v>5</v>
      </c>
      <c r="M30" s="217">
        <v>12.0</v>
      </c>
      <c r="N30" s="137"/>
      <c r="O30" s="138"/>
      <c r="P30" s="139"/>
      <c r="Q30" s="139"/>
      <c r="R30" s="139"/>
      <c r="S30" s="139"/>
      <c r="T30" s="139"/>
    </row>
    <row r="31" ht="21.0" customHeight="1">
      <c r="A31" s="131"/>
      <c r="B31" s="208" t="s">
        <v>21</v>
      </c>
      <c r="C31" s="208" t="s">
        <v>22</v>
      </c>
      <c r="D31" s="210">
        <v>45844.0</v>
      </c>
      <c r="E31" s="210">
        <v>45855.0</v>
      </c>
      <c r="F31" s="211">
        <f t="shared" si="2"/>
        <v>11</v>
      </c>
      <c r="G31" s="208" t="s">
        <v>140</v>
      </c>
      <c r="H31" s="212" t="s">
        <v>114</v>
      </c>
      <c r="I31" s="213" t="s">
        <v>141</v>
      </c>
      <c r="J31" s="214" t="s">
        <v>72</v>
      </c>
      <c r="K31" s="215"/>
      <c r="L31" s="216">
        <f t="shared" si="3"/>
        <v>8</v>
      </c>
      <c r="M31" s="217">
        <v>14.0</v>
      </c>
      <c r="N31" s="137"/>
      <c r="O31" s="138"/>
      <c r="P31" s="139"/>
      <c r="Q31" s="139"/>
      <c r="R31" s="139"/>
      <c r="S31" s="139"/>
      <c r="T31" s="139"/>
    </row>
    <row r="32" ht="21.0" customHeight="1">
      <c r="A32" s="131"/>
      <c r="B32" s="208" t="s">
        <v>21</v>
      </c>
      <c r="C32" s="208" t="s">
        <v>22</v>
      </c>
      <c r="D32" s="210">
        <v>45844.0</v>
      </c>
      <c r="E32" s="210">
        <v>45855.0</v>
      </c>
      <c r="F32" s="211">
        <f t="shared" si="2"/>
        <v>11</v>
      </c>
      <c r="G32" s="208" t="s">
        <v>142</v>
      </c>
      <c r="H32" s="212" t="s">
        <v>114</v>
      </c>
      <c r="I32" s="213" t="s">
        <v>143</v>
      </c>
      <c r="J32" s="214" t="s">
        <v>72</v>
      </c>
      <c r="K32" s="215"/>
      <c r="L32" s="216">
        <f t="shared" si="3"/>
        <v>2</v>
      </c>
      <c r="M32" s="217">
        <v>4.0</v>
      </c>
      <c r="N32" s="137"/>
      <c r="O32" s="138"/>
      <c r="P32" s="139"/>
      <c r="Q32" s="139"/>
      <c r="R32" s="139"/>
      <c r="S32" s="139"/>
      <c r="T32" s="139"/>
    </row>
    <row r="33" ht="21.0" customHeight="1">
      <c r="A33" s="131"/>
      <c r="B33" s="208" t="s">
        <v>21</v>
      </c>
      <c r="C33" s="208" t="s">
        <v>22</v>
      </c>
      <c r="D33" s="210">
        <v>45844.0</v>
      </c>
      <c r="E33" s="210">
        <v>45855.0</v>
      </c>
      <c r="F33" s="211">
        <f t="shared" si="2"/>
        <v>11</v>
      </c>
      <c r="G33" s="208" t="s">
        <v>121</v>
      </c>
      <c r="H33" s="212" t="s">
        <v>51</v>
      </c>
      <c r="I33" s="213" t="s">
        <v>144</v>
      </c>
      <c r="J33" s="214" t="s">
        <v>85</v>
      </c>
      <c r="K33" s="215"/>
      <c r="L33" s="216">
        <f t="shared" si="3"/>
        <v>8</v>
      </c>
      <c r="M33" s="217">
        <v>14.0</v>
      </c>
      <c r="N33" s="137"/>
      <c r="O33" s="138"/>
      <c r="P33" s="139"/>
      <c r="Q33" s="139"/>
      <c r="R33" s="139"/>
      <c r="S33" s="139"/>
      <c r="T33" s="139"/>
    </row>
    <row r="34" ht="21.0" customHeight="1">
      <c r="A34" s="131"/>
      <c r="B34" s="208" t="s">
        <v>21</v>
      </c>
      <c r="C34" s="208" t="s">
        <v>12</v>
      </c>
      <c r="D34" s="210">
        <v>45844.0</v>
      </c>
      <c r="E34" s="210">
        <v>45855.0</v>
      </c>
      <c r="F34" s="211">
        <f t="shared" si="2"/>
        <v>11</v>
      </c>
      <c r="G34" s="208" t="s">
        <v>145</v>
      </c>
      <c r="H34" s="212" t="s">
        <v>120</v>
      </c>
      <c r="I34" s="213" t="s">
        <v>146</v>
      </c>
      <c r="J34" s="214" t="s">
        <v>85</v>
      </c>
      <c r="K34" s="215"/>
      <c r="L34" s="216">
        <f t="shared" si="3"/>
        <v>3</v>
      </c>
      <c r="M34" s="217">
        <v>6.0</v>
      </c>
      <c r="N34" s="137"/>
      <c r="O34" s="138"/>
      <c r="P34" s="139"/>
      <c r="Q34" s="139"/>
      <c r="R34" s="139"/>
      <c r="S34" s="139"/>
      <c r="T34" s="139"/>
    </row>
    <row r="35" ht="21.0" customHeight="1">
      <c r="A35" s="131"/>
      <c r="B35" s="208" t="s">
        <v>21</v>
      </c>
      <c r="C35" s="208" t="s">
        <v>12</v>
      </c>
      <c r="D35" s="210">
        <v>45844.0</v>
      </c>
      <c r="E35" s="210">
        <v>45855.0</v>
      </c>
      <c r="F35" s="211">
        <f t="shared" si="2"/>
        <v>11</v>
      </c>
      <c r="G35" s="208" t="s">
        <v>145</v>
      </c>
      <c r="H35" s="212" t="s">
        <v>120</v>
      </c>
      <c r="I35" s="213" t="s">
        <v>147</v>
      </c>
      <c r="J35" s="214" t="s">
        <v>85</v>
      </c>
      <c r="K35" s="215"/>
      <c r="L35" s="216">
        <f t="shared" si="3"/>
        <v>3</v>
      </c>
      <c r="M35" s="217">
        <v>5.0</v>
      </c>
      <c r="N35" s="137"/>
      <c r="O35" s="138"/>
      <c r="P35" s="139"/>
      <c r="Q35" s="139"/>
      <c r="R35" s="139"/>
      <c r="S35" s="139"/>
      <c r="T35" s="139"/>
    </row>
    <row r="36" ht="21.0" customHeight="1">
      <c r="A36" s="131"/>
      <c r="B36" s="208" t="s">
        <v>21</v>
      </c>
      <c r="C36" s="208" t="s">
        <v>12</v>
      </c>
      <c r="D36" s="210">
        <v>45844.0</v>
      </c>
      <c r="E36" s="210">
        <v>45855.0</v>
      </c>
      <c r="F36" s="211">
        <f t="shared" si="2"/>
        <v>11</v>
      </c>
      <c r="G36" s="208" t="s">
        <v>125</v>
      </c>
      <c r="H36" s="212" t="s">
        <v>114</v>
      </c>
      <c r="I36" s="213" t="s">
        <v>148</v>
      </c>
      <c r="J36" s="214" t="s">
        <v>72</v>
      </c>
      <c r="K36" s="215"/>
      <c r="L36" s="216">
        <f t="shared" si="3"/>
        <v>3</v>
      </c>
      <c r="M36" s="217">
        <v>7.0</v>
      </c>
      <c r="N36" s="137"/>
      <c r="O36" s="138"/>
      <c r="P36" s="139"/>
      <c r="Q36" s="139"/>
      <c r="R36" s="139"/>
      <c r="S36" s="139"/>
      <c r="T36" s="139"/>
    </row>
    <row r="37" ht="21.0" customHeight="1">
      <c r="A37" s="131"/>
      <c r="B37" s="208" t="s">
        <v>21</v>
      </c>
      <c r="C37" s="208" t="s">
        <v>22</v>
      </c>
      <c r="D37" s="210">
        <v>45844.0</v>
      </c>
      <c r="E37" s="210">
        <v>45855.0</v>
      </c>
      <c r="F37" s="211">
        <f t="shared" si="2"/>
        <v>11</v>
      </c>
      <c r="G37" s="208" t="s">
        <v>149</v>
      </c>
      <c r="H37" s="212" t="s">
        <v>114</v>
      </c>
      <c r="I37" s="213" t="s">
        <v>150</v>
      </c>
      <c r="J37" s="214" t="s">
        <v>72</v>
      </c>
      <c r="K37" s="215"/>
      <c r="L37" s="216">
        <f t="shared" si="3"/>
        <v>1</v>
      </c>
      <c r="M37" s="217">
        <v>2.0</v>
      </c>
      <c r="N37" s="137"/>
      <c r="O37" s="138"/>
      <c r="P37" s="139"/>
      <c r="Q37" s="139"/>
      <c r="R37" s="139"/>
      <c r="S37" s="139"/>
      <c r="T37" s="139"/>
    </row>
    <row r="38" ht="21.0" customHeight="1">
      <c r="A38" s="131"/>
      <c r="B38" s="208" t="s">
        <v>21</v>
      </c>
      <c r="C38" s="208" t="s">
        <v>4</v>
      </c>
      <c r="D38" s="210">
        <v>45844.0</v>
      </c>
      <c r="E38" s="210">
        <v>45855.0</v>
      </c>
      <c r="F38" s="211">
        <f t="shared" si="2"/>
        <v>11</v>
      </c>
      <c r="G38" s="208" t="s">
        <v>123</v>
      </c>
      <c r="H38" s="212" t="s">
        <v>112</v>
      </c>
      <c r="I38" s="213" t="s">
        <v>151</v>
      </c>
      <c r="J38" s="214" t="s">
        <v>72</v>
      </c>
      <c r="K38" s="215"/>
      <c r="L38" s="216">
        <f t="shared" si="3"/>
        <v>3</v>
      </c>
      <c r="M38" s="217">
        <v>5.0</v>
      </c>
      <c r="N38" s="137"/>
      <c r="O38" s="138"/>
      <c r="P38" s="139"/>
      <c r="Q38" s="139"/>
      <c r="R38" s="139"/>
      <c r="S38" s="139"/>
      <c r="T38" s="139"/>
    </row>
    <row r="39" ht="21.0" customHeight="1">
      <c r="A39" s="131"/>
      <c r="B39" s="208" t="s">
        <v>21</v>
      </c>
      <c r="C39" s="208" t="s">
        <v>12</v>
      </c>
      <c r="D39" s="210">
        <v>45844.0</v>
      </c>
      <c r="E39" s="210">
        <v>45855.0</v>
      </c>
      <c r="F39" s="211">
        <f t="shared" si="2"/>
        <v>11</v>
      </c>
      <c r="G39" s="219" t="s">
        <v>152</v>
      </c>
      <c r="H39" s="212" t="s">
        <v>51</v>
      </c>
      <c r="I39" s="220" t="s">
        <v>153</v>
      </c>
      <c r="J39" s="214" t="s">
        <v>85</v>
      </c>
      <c r="K39" s="215"/>
      <c r="L39" s="216">
        <f t="shared" si="3"/>
        <v>8</v>
      </c>
      <c r="M39" s="217">
        <v>16.0</v>
      </c>
      <c r="N39" s="150"/>
      <c r="O39" s="138"/>
      <c r="P39" s="139"/>
      <c r="Q39" s="139"/>
      <c r="R39" s="139"/>
      <c r="S39" s="139"/>
      <c r="T39" s="139"/>
    </row>
    <row r="40" ht="21.0" customHeight="1">
      <c r="A40" s="131"/>
      <c r="B40" s="208" t="s">
        <v>21</v>
      </c>
      <c r="C40" s="208" t="s">
        <v>12</v>
      </c>
      <c r="D40" s="210">
        <v>45844.0</v>
      </c>
      <c r="E40" s="210">
        <v>45855.0</v>
      </c>
      <c r="F40" s="211">
        <f t="shared" si="2"/>
        <v>11</v>
      </c>
      <c r="G40" s="221" t="s">
        <v>140</v>
      </c>
      <c r="H40" s="212" t="s">
        <v>51</v>
      </c>
      <c r="I40" s="220" t="s">
        <v>154</v>
      </c>
      <c r="J40" s="214" t="s">
        <v>85</v>
      </c>
      <c r="K40" s="215"/>
      <c r="L40" s="216">
        <f t="shared" si="3"/>
        <v>8</v>
      </c>
      <c r="M40" s="217">
        <v>14.0</v>
      </c>
      <c r="N40" s="131"/>
      <c r="O40" s="138"/>
      <c r="P40" s="139"/>
      <c r="Q40" s="139"/>
      <c r="R40" s="139"/>
      <c r="S40" s="139"/>
      <c r="T40" s="139"/>
    </row>
    <row r="41" ht="21.0" customHeight="1">
      <c r="A41" s="131"/>
      <c r="B41" s="208" t="s">
        <v>21</v>
      </c>
      <c r="C41" s="208" t="s">
        <v>12</v>
      </c>
      <c r="D41" s="210">
        <v>45844.0</v>
      </c>
      <c r="E41" s="210">
        <v>45855.0</v>
      </c>
      <c r="F41" s="211">
        <f t="shared" si="2"/>
        <v>11</v>
      </c>
      <c r="G41" s="221" t="s">
        <v>155</v>
      </c>
      <c r="H41" s="212" t="s">
        <v>51</v>
      </c>
      <c r="I41" s="220" t="s">
        <v>156</v>
      </c>
      <c r="J41" s="214" t="s">
        <v>85</v>
      </c>
      <c r="K41" s="215"/>
      <c r="L41" s="216">
        <f t="shared" si="3"/>
        <v>5</v>
      </c>
      <c r="M41" s="217">
        <v>12.0</v>
      </c>
      <c r="N41" s="131"/>
      <c r="O41" s="138"/>
      <c r="P41" s="139"/>
      <c r="Q41" s="139"/>
      <c r="R41" s="139"/>
      <c r="S41" s="139"/>
      <c r="T41" s="139"/>
    </row>
    <row r="42" ht="21.0" customHeight="1">
      <c r="A42" s="131"/>
      <c r="B42" s="208" t="s">
        <v>21</v>
      </c>
      <c r="C42" s="208" t="s">
        <v>12</v>
      </c>
      <c r="D42" s="210">
        <v>45844.0</v>
      </c>
      <c r="E42" s="210">
        <v>45855.0</v>
      </c>
      <c r="F42" s="211">
        <f t="shared" si="2"/>
        <v>11</v>
      </c>
      <c r="G42" s="221" t="s">
        <v>157</v>
      </c>
      <c r="H42" s="212" t="s">
        <v>120</v>
      </c>
      <c r="I42" s="220" t="s">
        <v>158</v>
      </c>
      <c r="J42" s="214" t="s">
        <v>85</v>
      </c>
      <c r="K42" s="215"/>
      <c r="L42" s="216">
        <f t="shared" si="3"/>
        <v>5</v>
      </c>
      <c r="M42" s="217">
        <v>8.0</v>
      </c>
      <c r="N42" s="131"/>
      <c r="O42" s="138"/>
      <c r="P42" s="139"/>
      <c r="Q42" s="139"/>
      <c r="R42" s="139"/>
      <c r="S42" s="139"/>
      <c r="T42" s="139"/>
    </row>
    <row r="43" ht="21.0" customHeight="1">
      <c r="A43" s="131"/>
      <c r="B43" s="208" t="s">
        <v>21</v>
      </c>
      <c r="C43" s="208" t="s">
        <v>22</v>
      </c>
      <c r="D43" s="210">
        <v>45844.0</v>
      </c>
      <c r="E43" s="210">
        <v>45855.0</v>
      </c>
      <c r="F43" s="211">
        <f t="shared" si="2"/>
        <v>11</v>
      </c>
      <c r="G43" s="222" t="s">
        <v>155</v>
      </c>
      <c r="H43" s="212" t="s">
        <v>51</v>
      </c>
      <c r="I43" s="220" t="s">
        <v>159</v>
      </c>
      <c r="J43" s="214" t="s">
        <v>85</v>
      </c>
      <c r="K43" s="215"/>
      <c r="L43" s="216">
        <f t="shared" si="3"/>
        <v>5</v>
      </c>
      <c r="M43" s="217">
        <v>12.0</v>
      </c>
      <c r="N43" s="131"/>
      <c r="O43" s="138"/>
      <c r="P43" s="139"/>
      <c r="Q43" s="139"/>
      <c r="R43" s="139"/>
      <c r="S43" s="139"/>
      <c r="T43" s="139"/>
    </row>
    <row r="44" ht="21.0" customHeight="1">
      <c r="A44" s="131"/>
      <c r="B44" s="151"/>
      <c r="C44" s="152"/>
      <c r="D44" s="153"/>
      <c r="E44" s="153"/>
      <c r="F44" s="154"/>
      <c r="G44" s="155"/>
      <c r="H44" s="156"/>
      <c r="I44" s="162"/>
      <c r="J44" s="158"/>
      <c r="K44" s="159"/>
      <c r="L44" s="160"/>
      <c r="M44" s="131"/>
      <c r="N44" s="131"/>
      <c r="O44" s="138"/>
      <c r="P44" s="139"/>
      <c r="Q44" s="139"/>
      <c r="R44" s="139"/>
      <c r="S44" s="139"/>
      <c r="T44" s="139"/>
    </row>
    <row r="45" ht="21.0" customHeight="1">
      <c r="A45" s="131"/>
      <c r="B45" s="151"/>
      <c r="C45" s="152"/>
      <c r="D45" s="153"/>
      <c r="E45" s="153"/>
      <c r="F45" s="154"/>
      <c r="G45" s="155"/>
      <c r="H45" s="156"/>
      <c r="I45" s="162"/>
      <c r="J45" s="158"/>
      <c r="K45" s="159"/>
      <c r="L45" s="160"/>
      <c r="M45" s="131"/>
      <c r="N45" s="131"/>
      <c r="O45" s="138"/>
      <c r="P45" s="139"/>
      <c r="Q45" s="139"/>
      <c r="R45" s="139"/>
      <c r="S45" s="139"/>
      <c r="T45" s="139"/>
    </row>
    <row r="46" ht="21.0" customHeight="1">
      <c r="A46" s="131"/>
      <c r="B46" s="151"/>
      <c r="C46" s="152"/>
      <c r="D46" s="153"/>
      <c r="E46" s="153"/>
      <c r="F46" s="154"/>
      <c r="G46" s="155"/>
      <c r="H46" s="156"/>
      <c r="I46" s="162"/>
      <c r="J46" s="158"/>
      <c r="K46" s="159"/>
      <c r="L46" s="160"/>
      <c r="M46" s="131"/>
      <c r="N46" s="131"/>
      <c r="O46" s="138"/>
      <c r="P46" s="139"/>
      <c r="Q46" s="139"/>
      <c r="R46" s="139"/>
      <c r="S46" s="139"/>
      <c r="T46" s="139"/>
    </row>
    <row r="47" ht="21.0" customHeight="1">
      <c r="A47" s="131"/>
      <c r="B47" s="151"/>
      <c r="C47" s="152"/>
      <c r="D47" s="153"/>
      <c r="E47" s="153"/>
      <c r="F47" s="154"/>
      <c r="G47" s="155"/>
      <c r="H47" s="156"/>
      <c r="I47" s="162"/>
      <c r="J47" s="158"/>
      <c r="K47" s="159"/>
      <c r="L47" s="160"/>
      <c r="M47" s="131"/>
      <c r="N47" s="131"/>
      <c r="O47" s="138"/>
      <c r="P47" s="139"/>
      <c r="Q47" s="139"/>
      <c r="R47" s="139"/>
      <c r="S47" s="139"/>
      <c r="T47" s="139"/>
    </row>
    <row r="48" ht="21.0" customHeight="1">
      <c r="A48" s="131"/>
      <c r="B48" s="164" t="s">
        <v>86</v>
      </c>
      <c r="C48" s="165"/>
      <c r="D48" s="166" t="s">
        <v>87</v>
      </c>
      <c r="E48" s="167"/>
      <c r="F48" s="168" t="s">
        <v>88</v>
      </c>
      <c r="G48" s="165"/>
      <c r="H48" s="169" t="s">
        <v>89</v>
      </c>
      <c r="I48" s="170">
        <v>1.0</v>
      </c>
      <c r="J48" s="158"/>
      <c r="K48" s="163"/>
      <c r="L48" s="160"/>
      <c r="M48" s="131"/>
      <c r="N48" s="131"/>
      <c r="O48" s="138"/>
      <c r="P48" s="139"/>
      <c r="Q48" s="139"/>
      <c r="R48" s="139"/>
      <c r="S48" s="139"/>
      <c r="T48" s="139"/>
    </row>
    <row r="49" ht="21.0" customHeight="1">
      <c r="A49" s="131"/>
      <c r="B49" s="171" t="s">
        <v>90</v>
      </c>
      <c r="C49" s="172" t="s">
        <v>160</v>
      </c>
      <c r="D49" s="173" t="s">
        <v>90</v>
      </c>
      <c r="E49" s="174" t="s">
        <v>161</v>
      </c>
      <c r="F49" s="173" t="s">
        <v>90</v>
      </c>
      <c r="G49" s="175" t="s">
        <v>162</v>
      </c>
      <c r="H49" s="176" t="s">
        <v>87</v>
      </c>
      <c r="I49" s="170">
        <v>1.0</v>
      </c>
      <c r="J49" s="158"/>
      <c r="K49" s="159"/>
      <c r="L49" s="160"/>
      <c r="M49" s="131"/>
      <c r="N49" s="131"/>
      <c r="O49" s="138"/>
      <c r="P49" s="139"/>
      <c r="Q49" s="139"/>
      <c r="R49" s="139"/>
      <c r="S49" s="139"/>
      <c r="T49" s="139"/>
    </row>
    <row r="50" ht="21.0" customHeight="1">
      <c r="A50" s="131"/>
      <c r="B50" s="171" t="s">
        <v>92</v>
      </c>
      <c r="C50" s="172"/>
      <c r="D50" s="173" t="s">
        <v>92</v>
      </c>
      <c r="E50" s="173" t="s">
        <v>163</v>
      </c>
      <c r="F50" s="173" t="s">
        <v>92</v>
      </c>
      <c r="G50" s="223" t="s">
        <v>164</v>
      </c>
      <c r="H50" s="178" t="s">
        <v>88</v>
      </c>
      <c r="I50" s="170">
        <v>1.0</v>
      </c>
      <c r="J50" s="158"/>
      <c r="K50" s="159"/>
      <c r="L50" s="160"/>
      <c r="M50" s="131"/>
      <c r="N50" s="131"/>
      <c r="O50" s="138"/>
      <c r="P50" s="139"/>
      <c r="Q50" s="139"/>
      <c r="R50" s="139"/>
      <c r="S50" s="139"/>
      <c r="T50" s="139"/>
    </row>
    <row r="51" ht="21.0" customHeight="1">
      <c r="A51" s="131"/>
      <c r="B51" s="171" t="s">
        <v>94</v>
      </c>
      <c r="C51" s="172"/>
      <c r="D51" s="173" t="s">
        <v>94</v>
      </c>
      <c r="E51" s="173"/>
      <c r="F51" s="173" t="s">
        <v>94</v>
      </c>
      <c r="G51" s="175"/>
      <c r="H51" s="156"/>
      <c r="I51" s="162"/>
      <c r="J51" s="158"/>
      <c r="K51" s="159"/>
      <c r="L51" s="160"/>
      <c r="M51" s="131"/>
      <c r="N51" s="131"/>
      <c r="O51" s="138"/>
      <c r="P51" s="139"/>
      <c r="Q51" s="139"/>
      <c r="R51" s="139"/>
      <c r="S51" s="139"/>
      <c r="T51" s="139"/>
    </row>
    <row r="52" ht="21.0" customHeight="1">
      <c r="A52" s="131"/>
      <c r="B52" s="171" t="s">
        <v>95</v>
      </c>
      <c r="C52" s="172"/>
      <c r="D52" s="173" t="s">
        <v>95</v>
      </c>
      <c r="E52" s="173"/>
      <c r="F52" s="173" t="s">
        <v>95</v>
      </c>
      <c r="G52" s="179"/>
      <c r="H52" s="156"/>
      <c r="I52" s="162"/>
      <c r="J52" s="158"/>
      <c r="K52" s="159"/>
      <c r="L52" s="160"/>
      <c r="M52" s="131"/>
      <c r="N52" s="131"/>
      <c r="O52" s="138"/>
      <c r="P52" s="139"/>
      <c r="Q52" s="139"/>
      <c r="R52" s="139"/>
      <c r="S52" s="139"/>
      <c r="T52" s="139"/>
    </row>
    <row r="53" ht="21.0" customHeight="1">
      <c r="A53" s="131"/>
      <c r="B53" s="171" t="s">
        <v>96</v>
      </c>
      <c r="C53" s="172"/>
      <c r="D53" s="173" t="s">
        <v>96</v>
      </c>
      <c r="E53" s="173"/>
      <c r="F53" s="173" t="s">
        <v>96</v>
      </c>
      <c r="G53" s="179"/>
      <c r="H53" s="180"/>
      <c r="I53" s="224"/>
      <c r="J53" s="182"/>
      <c r="K53" s="138"/>
      <c r="L53" s="138"/>
      <c r="M53" s="138"/>
      <c r="N53" s="138"/>
      <c r="O53" s="138"/>
      <c r="P53" s="139"/>
      <c r="Q53" s="139"/>
      <c r="R53" s="139"/>
      <c r="S53" s="139"/>
      <c r="T53" s="139"/>
    </row>
    <row r="54" ht="21.0" customHeight="1">
      <c r="A54" s="131"/>
      <c r="B54" s="171" t="s">
        <v>97</v>
      </c>
      <c r="C54" s="183"/>
      <c r="D54" s="173" t="s">
        <v>97</v>
      </c>
      <c r="E54" s="173"/>
      <c r="F54" s="173" t="s">
        <v>97</v>
      </c>
      <c r="G54" s="179"/>
      <c r="H54" s="161"/>
      <c r="I54" s="225"/>
      <c r="J54" s="131"/>
      <c r="K54" s="131"/>
      <c r="L54" s="131"/>
      <c r="M54" s="131"/>
      <c r="N54" s="131"/>
      <c r="O54" s="131"/>
      <c r="P54" s="185"/>
      <c r="Q54" s="185"/>
      <c r="R54" s="185"/>
      <c r="S54" s="185"/>
      <c r="T54" s="185"/>
    </row>
    <row r="55" ht="21.0" customHeight="1">
      <c r="A55" s="131"/>
      <c r="B55" s="186" t="s">
        <v>98</v>
      </c>
      <c r="C55" s="187"/>
      <c r="D55" s="173" t="s">
        <v>98</v>
      </c>
      <c r="E55" s="188"/>
      <c r="F55" s="173" t="s">
        <v>98</v>
      </c>
      <c r="G55" s="189"/>
      <c r="H55" s="161"/>
      <c r="I55" s="225"/>
      <c r="J55" s="131"/>
      <c r="K55" s="131"/>
      <c r="L55" s="131"/>
      <c r="M55" s="131"/>
      <c r="N55" s="131"/>
      <c r="O55" s="131"/>
      <c r="P55" s="185"/>
      <c r="Q55" s="185"/>
      <c r="R55" s="185"/>
      <c r="S55" s="185"/>
      <c r="T55" s="185"/>
    </row>
    <row r="56" ht="21.0" customHeight="1">
      <c r="A56" s="131"/>
      <c r="B56" s="184"/>
      <c r="C56" s="184"/>
      <c r="D56" s="161"/>
      <c r="E56" s="161"/>
      <c r="F56" s="161"/>
      <c r="G56" s="161"/>
      <c r="H56" s="161"/>
      <c r="I56" s="225"/>
      <c r="J56" s="131"/>
      <c r="K56" s="131"/>
      <c r="L56" s="131"/>
      <c r="M56" s="131"/>
      <c r="N56" s="131"/>
      <c r="O56" s="131"/>
      <c r="P56" s="185"/>
      <c r="Q56" s="185"/>
      <c r="R56" s="185"/>
      <c r="S56" s="185"/>
      <c r="T56" s="185"/>
    </row>
  </sheetData>
  <mergeCells count="11">
    <mergeCell ref="B5:C5"/>
    <mergeCell ref="B48:C48"/>
    <mergeCell ref="D48:E48"/>
    <mergeCell ref="F48:G48"/>
    <mergeCell ref="B2:G2"/>
    <mergeCell ref="J2:N2"/>
    <mergeCell ref="B4:C4"/>
    <mergeCell ref="A6:G6"/>
    <mergeCell ref="B18:J18"/>
    <mergeCell ref="L18:N18"/>
    <mergeCell ref="B20:I20"/>
  </mergeCells>
  <conditionalFormatting sqref="H44:H47 H49:H53">
    <cfRule type="colorScale" priority="1">
      <colorScale>
        <cfvo type="min"/>
        <cfvo type="max"/>
        <color rgb="FFFFFFFF"/>
        <color rgb="FF57BB8A"/>
      </colorScale>
    </cfRule>
  </conditionalFormatting>
  <conditionalFormatting sqref="H44:H47 H49:H53">
    <cfRule type="colorScale" priority="2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L21:L43">
      <formula1>"8,5,3,2,1"</formula1>
    </dataValidation>
    <dataValidation type="list" allowBlank="1" showErrorMessage="1" sqref="F8:F17">
      <formula1>"High,Normal,Low"</formula1>
    </dataValidation>
    <dataValidation type="list" allowBlank="1" showErrorMessage="1" sqref="H21:H43">
      <formula1>Geftar!$B$8:$B$17</formula1>
    </dataValidation>
    <dataValidation type="list" allowBlank="1" showErrorMessage="1" sqref="K21:K43">
      <formula1>"100%,75%,50%,25%"</formula1>
    </dataValidation>
    <dataValidation type="list" allowBlank="1" showErrorMessage="1" sqref="D8:E17">
      <formula1>"0,1,2,3,4,5"</formula1>
    </dataValidation>
    <dataValidation type="list" allowBlank="1" sqref="C21">
      <formula1>Geftar!$S$3:$S$12</formula1>
    </dataValidation>
    <dataValidation type="list" allowBlank="1" sqref="B21:B43">
      <formula1>Geftar!$Q$3:$Q$12</formula1>
    </dataValidation>
    <dataValidation type="list" allowBlank="1" sqref="C22:C43">
      <formula1>Geftar!$S$3:$S$12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23.25"/>
    <col customWidth="1" min="4" max="4" width="18.63"/>
    <col customWidth="1" min="5" max="5" width="20.38"/>
    <col customWidth="1" min="6" max="6" width="20.25"/>
    <col customWidth="1" min="7" max="7" width="31.5"/>
  </cols>
  <sheetData>
    <row r="1">
      <c r="A1" s="65" t="s">
        <v>27</v>
      </c>
      <c r="B1" s="66" t="s">
        <v>28</v>
      </c>
      <c r="C1" s="67" t="s">
        <v>29</v>
      </c>
      <c r="D1" s="68" t="s">
        <v>165</v>
      </c>
      <c r="E1" s="69" t="s">
        <v>166</v>
      </c>
      <c r="F1" s="69" t="s">
        <v>167</v>
      </c>
      <c r="G1" s="69" t="s">
        <v>33</v>
      </c>
    </row>
    <row r="2">
      <c r="A2" s="197" t="s">
        <v>106</v>
      </c>
      <c r="B2" s="198" t="s">
        <v>107</v>
      </c>
      <c r="C2" s="199" t="s">
        <v>36</v>
      </c>
      <c r="D2" s="200">
        <v>4.0</v>
      </c>
      <c r="E2" s="201">
        <v>4.0</v>
      </c>
      <c r="F2" s="202" t="s">
        <v>4</v>
      </c>
      <c r="G2" s="76"/>
    </row>
    <row r="3">
      <c r="A3" s="197" t="s">
        <v>108</v>
      </c>
      <c r="B3" s="203" t="s">
        <v>109</v>
      </c>
      <c r="C3" s="204" t="s">
        <v>110</v>
      </c>
      <c r="D3" s="200">
        <v>4.0</v>
      </c>
      <c r="E3" s="78">
        <v>0.0</v>
      </c>
      <c r="F3" s="202" t="s">
        <v>22</v>
      </c>
      <c r="G3" s="76"/>
    </row>
    <row r="4">
      <c r="A4" s="197" t="s">
        <v>106</v>
      </c>
      <c r="B4" s="203"/>
      <c r="C4" s="204" t="s">
        <v>43</v>
      </c>
      <c r="D4" s="205">
        <v>4.0</v>
      </c>
      <c r="E4" s="78">
        <v>0.0</v>
      </c>
      <c r="F4" s="202" t="s">
        <v>41</v>
      </c>
      <c r="G4" s="76"/>
    </row>
    <row r="5">
      <c r="A5" s="197" t="s">
        <v>106</v>
      </c>
      <c r="B5" s="203" t="s">
        <v>112</v>
      </c>
      <c r="C5" s="204" t="s">
        <v>113</v>
      </c>
      <c r="D5" s="200">
        <v>4.0</v>
      </c>
      <c r="E5" s="78">
        <v>0.0</v>
      </c>
      <c r="F5" s="202" t="s">
        <v>41</v>
      </c>
      <c r="G5" s="76"/>
    </row>
    <row r="6">
      <c r="A6" s="197" t="s">
        <v>106</v>
      </c>
      <c r="B6" s="203" t="s">
        <v>114</v>
      </c>
      <c r="C6" s="204" t="s">
        <v>113</v>
      </c>
      <c r="D6" s="200">
        <v>3.0</v>
      </c>
      <c r="E6" s="78">
        <v>0.0</v>
      </c>
      <c r="F6" s="202" t="s">
        <v>41</v>
      </c>
      <c r="G6" s="76"/>
    </row>
    <row r="7">
      <c r="A7" s="197" t="s">
        <v>106</v>
      </c>
      <c r="B7" s="203" t="s">
        <v>115</v>
      </c>
      <c r="C7" s="204" t="s">
        <v>116</v>
      </c>
      <c r="D7" s="200">
        <v>4.0</v>
      </c>
      <c r="E7" s="78">
        <v>0.0</v>
      </c>
      <c r="F7" s="202" t="s">
        <v>22</v>
      </c>
      <c r="G7" s="76"/>
    </row>
    <row r="8">
      <c r="A8" s="197" t="s">
        <v>106</v>
      </c>
      <c r="B8" s="206" t="s">
        <v>117</v>
      </c>
      <c r="C8" s="204" t="s">
        <v>116</v>
      </c>
      <c r="D8" s="200">
        <v>5.0</v>
      </c>
      <c r="E8" s="78">
        <v>0.0</v>
      </c>
      <c r="F8" s="202" t="s">
        <v>41</v>
      </c>
      <c r="G8" s="76"/>
    </row>
    <row r="9">
      <c r="A9" s="197" t="s">
        <v>106</v>
      </c>
      <c r="B9" s="206" t="s">
        <v>118</v>
      </c>
      <c r="C9" s="204" t="s">
        <v>116</v>
      </c>
      <c r="D9" s="200">
        <v>4.0</v>
      </c>
      <c r="E9" s="78">
        <v>0.0</v>
      </c>
      <c r="F9" s="202" t="s">
        <v>22</v>
      </c>
      <c r="G9" s="76"/>
    </row>
    <row r="10">
      <c r="A10" s="197" t="s">
        <v>119</v>
      </c>
      <c r="B10" s="207" t="s">
        <v>51</v>
      </c>
      <c r="C10" s="204" t="s">
        <v>52</v>
      </c>
      <c r="D10" s="200">
        <v>4.0</v>
      </c>
      <c r="E10" s="78">
        <v>0.0</v>
      </c>
      <c r="F10" s="202" t="s">
        <v>22</v>
      </c>
      <c r="G10" s="76"/>
    </row>
    <row r="11">
      <c r="A11" s="197" t="s">
        <v>106</v>
      </c>
      <c r="B11" s="207" t="s">
        <v>120</v>
      </c>
      <c r="C11" s="204" t="s">
        <v>52</v>
      </c>
      <c r="D11" s="200"/>
      <c r="E11" s="78"/>
      <c r="F11" s="202" t="s">
        <v>41</v>
      </c>
      <c r="G11" s="76"/>
    </row>
  </sheetData>
  <dataValidations>
    <dataValidation type="list" allowBlank="1" showErrorMessage="1" sqref="F2:F11">
      <formula1>"High,Normal,Low"</formula1>
    </dataValidation>
    <dataValidation type="list" allowBlank="1" showErrorMessage="1" sqref="D2:E11">
      <formula1>"0,1,2,3,4,5"</formula1>
    </dataValidation>
  </dataValidations>
  <drawing r:id="rId1"/>
</worksheet>
</file>